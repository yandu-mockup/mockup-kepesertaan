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yandu-prototype\"/>
    </mc:Choice>
  </mc:AlternateContent>
  <xr:revisionPtr revIDLastSave="0" documentId="8_{BEA6F829-954C-42A5-BF2F-D12751B695C0}" xr6:coauthVersionLast="47" xr6:coauthVersionMax="47" xr10:uidLastSave="{00000000-0000-0000-0000-000000000000}"/>
  <bookViews>
    <workbookView xWindow="4580" yWindow="2810" windowWidth="14400" windowHeight="7270" xr2:uid="{70EB0C10-86E2-41E7-BAA4-A56811445806}"/>
  </bookViews>
  <sheets>
    <sheet name="Ringkasan" sheetId="5" r:id="rId1"/>
    <sheet name="Pengajuan" sheetId="1" r:id="rId2"/>
    <sheet name="Data Keluarga" sheetId="2" r:id="rId3"/>
    <sheet name="Data Pangkat" sheetId="3" r:id="rId4"/>
    <sheet name="Rekomendasi" sheetId="4" r:id="rId5"/>
  </sheets>
  <definedNames>
    <definedName name="_xlnm._FilterDatabase" localSheetId="2" hidden="1">'Data Keluarga'!$A$1:$H$15</definedName>
    <definedName name="_xlnm._FilterDatabase" localSheetId="3" hidden="1">'Data Pangkat'!$A$1:$F$19</definedName>
    <definedName name="_xlnm._FilterDatabase" localSheetId="1" hidden="1">Pengajuan!$A$1:$AM$25</definedName>
    <definedName name="_xlnm._FilterDatabase" localSheetId="4" hidden="1">Rekomendasi!$A$1:$I$19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0" i="5"/>
  <c r="B8" i="5"/>
  <c r="B7" i="5"/>
  <c r="B6" i="5"/>
  <c r="B5" i="5"/>
</calcChain>
</file>

<file path=xl/sharedStrings.xml><?xml version="1.0" encoding="utf-8"?>
<sst xmlns="http://schemas.openxmlformats.org/spreadsheetml/2006/main" count="1349" uniqueCount="679">
  <si>
    <t>Nomor Permohonan</t>
  </si>
  <si>
    <t>Tanggal Pengajuan</t>
  </si>
  <si>
    <t>Status</t>
  </si>
  <si>
    <t>KPA</t>
  </si>
  <si>
    <t>Nama Peserta</t>
  </si>
  <si>
    <t>NRP / NIP</t>
  </si>
  <si>
    <t>NRP Lama</t>
  </si>
  <si>
    <t>NIK</t>
  </si>
  <si>
    <t>NPWP</t>
  </si>
  <si>
    <t>Tempat Lahir</t>
  </si>
  <si>
    <t>Tanggal Lahir</t>
  </si>
  <si>
    <t>Jenis Kelamin</t>
  </si>
  <si>
    <t>Status Kawin</t>
  </si>
  <si>
    <t>Angkatan</t>
  </si>
  <si>
    <t>Status Personil</t>
  </si>
  <si>
    <t>Unor</t>
  </si>
  <si>
    <t>UKER / Kesatuan</t>
  </si>
  <si>
    <t>Pangkat Awal</t>
  </si>
  <si>
    <t>Pangkat Akhir</t>
  </si>
  <si>
    <t>TMT Pengangkatan Awal</t>
  </si>
  <si>
    <t>No SKEP Pengangkatan Awal</t>
  </si>
  <si>
    <t>Tanggal SKEP Pengangkatan Awal</t>
  </si>
  <si>
    <t>No SKEP Pensiun</t>
  </si>
  <si>
    <t>Tanggal SKEP Pensiun</t>
  </si>
  <si>
    <t>Bintang Jasa</t>
  </si>
  <si>
    <t>Alamat</t>
  </si>
  <si>
    <t>RT</t>
  </si>
  <si>
    <t>RW</t>
  </si>
  <si>
    <t>Desa / Kelurahan</t>
  </si>
  <si>
    <t>Kode Pos</t>
  </si>
  <si>
    <t>No Telepon</t>
  </si>
  <si>
    <t>No Handphone</t>
  </si>
  <si>
    <t>Email</t>
  </si>
  <si>
    <t>Kancab ASABRI</t>
  </si>
  <si>
    <t>Diajukan Oleh</t>
  </si>
  <si>
    <t>No Request Umum</t>
  </si>
  <si>
    <t>Jumlah Berkas</t>
  </si>
  <si>
    <t>Daftar Berkas</t>
  </si>
  <si>
    <t>Catatan</t>
  </si>
  <si>
    <t>SPP-2026-00134</t>
  </si>
  <si>
    <t>18/09/2026</t>
  </si>
  <si>
    <t>Tertunda</t>
  </si>
  <si>
    <t>LA940436</t>
  </si>
  <si>
    <t>Wahyu Nugroho</t>
  </si>
  <si>
    <t>199404282015031002</t>
  </si>
  <si>
    <t/>
  </si>
  <si>
    <t>3578142804940005</t>
  </si>
  <si>
    <t>SURABAYA</t>
  </si>
  <si>
    <t>28/04/1994</t>
  </si>
  <si>
    <t>Laki-laki</t>
  </si>
  <si>
    <t>BELUM MENIKAH</t>
  </si>
  <si>
    <t>TNI-AD</t>
  </si>
  <si>
    <t>Prajurit</t>
  </si>
  <si>
    <t>TNI AD</t>
  </si>
  <si>
    <t>KOREM 084/BHASKARA JAYA</t>
  </si>
  <si>
    <t>PRAJURIT DUA</t>
  </si>
  <si>
    <t>SERSAN DUA</t>
  </si>
  <si>
    <t>01/03/2015</t>
  </si>
  <si>
    <t>KEP/1180/III/2015</t>
  </si>
  <si>
    <t>12/02/2015</t>
  </si>
  <si>
    <t>Jl. Hayam Wuruk No. 18</t>
  </si>
  <si>
    <t>03</t>
  </si>
  <si>
    <t>05</t>
  </si>
  <si>
    <t>Sawunggaling, Wonokromo, Kota Surabaya</t>
  </si>
  <si>
    <t>60242</t>
  </si>
  <si>
    <t>081234550134</t>
  </si>
  <si>
    <t>wahyu.nugroho@mail.com</t>
  </si>
  <si>
    <t>KC Surabaya</t>
  </si>
  <si>
    <t>Officer KC — D. Ramadhan</t>
  </si>
  <si>
    <t>REQ-2026-01024</t>
  </si>
  <si>
    <t>Peserta belum dapat melampirkan berkas; menunggu salinan dari kesatuan.</t>
  </si>
  <si>
    <t>SPP-2026-00133</t>
  </si>
  <si>
    <t>15/09/2026</t>
  </si>
  <si>
    <t>AU710262</t>
  </si>
  <si>
    <t>Bayu Anggara</t>
  </si>
  <si>
    <t>199007152011011006</t>
  </si>
  <si>
    <t>3520151507900003</t>
  </si>
  <si>
    <t>74.221.908.3-621.000</t>
  </si>
  <si>
    <t>MAGETAN</t>
  </si>
  <si>
    <t>15/07/1990</t>
  </si>
  <si>
    <t>MENIKAH</t>
  </si>
  <si>
    <t>TNI-AU</t>
  </si>
  <si>
    <t>TNI AU</t>
  </si>
  <si>
    <t>SKADRON UDARA 3 LANUD ISWAHJUDI</t>
  </si>
  <si>
    <t>SERSAN SATU</t>
  </si>
  <si>
    <t>01/01/2011</t>
  </si>
  <si>
    <t>KEP/402/I/2011</t>
  </si>
  <si>
    <t>10/12/2010</t>
  </si>
  <si>
    <t>Jl. Raya Maospati No. 41</t>
  </si>
  <si>
    <t>02</t>
  </si>
  <si>
    <t>04</t>
  </si>
  <si>
    <t>Maospati, Maospati, Kabupaten Magetan</t>
  </si>
  <si>
    <t>63392</t>
  </si>
  <si>
    <t>0351778120</t>
  </si>
  <si>
    <t>081234550133</t>
  </si>
  <si>
    <t>bayu.anggara@mail.com</t>
  </si>
  <si>
    <t>KC Madiun</t>
  </si>
  <si>
    <t>Officer KC — T. Wibisono</t>
  </si>
  <si>
    <t>REQ-2026-01011</t>
  </si>
  <si>
    <t>Surat Permohonan KC Madiun.pdf; Fotokopi KPA.pdf; SKEP Pengangkatan.pdf</t>
  </si>
  <si>
    <t>SPP-2026-00132</t>
  </si>
  <si>
    <t>11/09/2026</t>
  </si>
  <si>
    <t>Disetujui</t>
  </si>
  <si>
    <t>PB910544</t>
  </si>
  <si>
    <t>Hesti Puspitasari</t>
  </si>
  <si>
    <t>198512032007012004</t>
  </si>
  <si>
    <t>3515114312850006</t>
  </si>
  <si>
    <t>68.410.337.2-603.000</t>
  </si>
  <si>
    <t>SIDOARJO</t>
  </si>
  <si>
    <t>03/12/1985</t>
  </si>
  <si>
    <t>Perempuan</t>
  </si>
  <si>
    <t>POLRI</t>
  </si>
  <si>
    <t>POLRES SIDOARJO</t>
  </si>
  <si>
    <t>BHARADA</t>
  </si>
  <si>
    <t>BRIGADIR POLISI KEPALA</t>
  </si>
  <si>
    <t>01/01/2007</t>
  </si>
  <si>
    <t>KEP/233/I/2007</t>
  </si>
  <si>
    <t>18/12/2006</t>
  </si>
  <si>
    <t>Satyalancana Kesetiaan VIII Tahun</t>
  </si>
  <si>
    <t>Jl. Kombes Pol. M. Duryat No. 27</t>
  </si>
  <si>
    <t>01</t>
  </si>
  <si>
    <t>08</t>
  </si>
  <si>
    <t>Sidokumpul, Sidoarjo, Kabupaten Sidoarjo</t>
  </si>
  <si>
    <t>61212</t>
  </si>
  <si>
    <t>0318921345</t>
  </si>
  <si>
    <t>081234550132</t>
  </si>
  <si>
    <t>hesti.puspitasari@mail.com</t>
  </si>
  <si>
    <t>REQ-2026-00998</t>
  </si>
  <si>
    <t>Surat Permohonan KC Surabaya.pdf; Fotokopi KPA.pdf; KTP &amp; KK.pdf; Surat Nikah / KPI.pdf</t>
  </si>
  <si>
    <t>Disetujui — data peserta aktif kembali dan cocok dengan arsip kepolisian.</t>
  </si>
  <si>
    <t>SPP-2026-00131</t>
  </si>
  <si>
    <t>08/09/2026</t>
  </si>
  <si>
    <t>Ditolak</t>
  </si>
  <si>
    <t>KH430591</t>
  </si>
  <si>
    <t>Dwi Hartono</t>
  </si>
  <si>
    <t>197708222005011008</t>
  </si>
  <si>
    <t>3171062208770007</t>
  </si>
  <si>
    <t>55.207.813.4-019.000</t>
  </si>
  <si>
    <t>JAKARTA</t>
  </si>
  <si>
    <t>22/08/1977</t>
  </si>
  <si>
    <t>KEMHAN</t>
  </si>
  <si>
    <t>PNS</t>
  </si>
  <si>
    <t>BIRO KEUANGAN SETJEN KEMHAN</t>
  </si>
  <si>
    <t>GOL.II/A</t>
  </si>
  <si>
    <t>PENATA MUDA TINGKAT I</t>
  </si>
  <si>
    <t>01/01/2005</t>
  </si>
  <si>
    <t>KEP/119/I/2005</t>
  </si>
  <si>
    <t>20/12/2004</t>
  </si>
  <si>
    <t>Jl. Medan Merdeka Barat No. 9</t>
  </si>
  <si>
    <t>Gambir, Gambir, Jakarta Pusat</t>
  </si>
  <si>
    <t>10110</t>
  </si>
  <si>
    <t>0213840123</t>
  </si>
  <si>
    <t>081234550131</t>
  </si>
  <si>
    <t>dwi.hartono@mail.com</t>
  </si>
  <si>
    <t>KC Jakarta Pusat</t>
  </si>
  <si>
    <t>Officer KC — R. Handoko</t>
  </si>
  <si>
    <t>REQ-2026-00985</t>
  </si>
  <si>
    <t>Surat Permohonan KC Jakarta Pusat.pdf; Fotokopi KPA.pdf</t>
  </si>
  <si>
    <t>SK CPNS dan SK PNS tidak dilampirkan sehingga masa kerja tidak dapat diverifikasi.</t>
  </si>
  <si>
    <t>SPP-2026-00130</t>
  </si>
  <si>
    <t>04/09/2026</t>
  </si>
  <si>
    <t>LA940327</t>
  </si>
  <si>
    <t>Sutrisno Adi</t>
  </si>
  <si>
    <t>196911031991031004</t>
  </si>
  <si>
    <t>3529120311690001</t>
  </si>
  <si>
    <t>61.338.204.9-608.000</t>
  </si>
  <si>
    <t>SUMENEP</t>
  </si>
  <si>
    <t>03/11/1969</t>
  </si>
  <si>
    <t>KODIM 0827/SUMENEP</t>
  </si>
  <si>
    <t>PEMBANTU LETNAN DUA</t>
  </si>
  <si>
    <t>01/03/1991</t>
  </si>
  <si>
    <t>KEP/1330/III/1991</t>
  </si>
  <si>
    <t>14/02/1991</t>
  </si>
  <si>
    <t>KEP/882/X/2025</t>
  </si>
  <si>
    <t>01/12/2025</t>
  </si>
  <si>
    <t>Satyalancana Kesetiaan XXIV Tahun</t>
  </si>
  <si>
    <t>Jl. Trunojoyo No. 88</t>
  </si>
  <si>
    <t>Kolor, Kota Sumenep, Kabupaten Sumenep</t>
  </si>
  <si>
    <t>69417</t>
  </si>
  <si>
    <t>0328662410</t>
  </si>
  <si>
    <t>081234550130</t>
  </si>
  <si>
    <t>sutrisno.adi@mail.com</t>
  </si>
  <si>
    <t>Officer KC — L. Anggraeni</t>
  </si>
  <si>
    <t>REQ-2026-00971</t>
  </si>
  <si>
    <t>Surat Permohonan KC Surabaya.pdf; Fotokopi KPA.pdf; SKEP Pensiun.pdf; KTP &amp; KK.pdf</t>
  </si>
  <si>
    <t>Disetujui — data pensiunan ditemukan pada arsip Yandu lama dan diaktifkan kembali.</t>
  </si>
  <si>
    <t>SPP-2026-00129</t>
  </si>
  <si>
    <t>01/09/2026</t>
  </si>
  <si>
    <t>UA121045</t>
  </si>
  <si>
    <t>Rendi Saputra</t>
  </si>
  <si>
    <t>199506182017011003</t>
  </si>
  <si>
    <t>3520151806950004</t>
  </si>
  <si>
    <t>MADIUN</t>
  </si>
  <si>
    <t>18/06/1995</t>
  </si>
  <si>
    <t>KOPRAL SATU</t>
  </si>
  <si>
    <t>01/01/2017</t>
  </si>
  <si>
    <t>KEP/287/I/2017</t>
  </si>
  <si>
    <t>09/12/2016</t>
  </si>
  <si>
    <t>Jl. Raya Solo No. 12</t>
  </si>
  <si>
    <t>081234550129</t>
  </si>
  <si>
    <t>rendi.saputra@mail.com</t>
  </si>
  <si>
    <t>REQ-2026-00958</t>
  </si>
  <si>
    <t>Surat Permohonan KC Madiun.pdf; Fotokopi KPA.pdf</t>
  </si>
  <si>
    <t>Nomor KPA tidak sesuai data Spersau — dikembalikan ke Kantor Cabang untuk diperbaiki.</t>
  </si>
  <si>
    <t>SPP-2026-00128</t>
  </si>
  <si>
    <t>28/08/2026</t>
  </si>
  <si>
    <t>PL810234</t>
  </si>
  <si>
    <t>Ahmad Fauzi</t>
  </si>
  <si>
    <t>198202142004121005</t>
  </si>
  <si>
    <t>3171061402820003</t>
  </si>
  <si>
    <t>49.512.770.6-019.000</t>
  </si>
  <si>
    <t>14/02/1982</t>
  </si>
  <si>
    <t>POLRES METRO JAKARTA PUSAT</t>
  </si>
  <si>
    <t>AJUN INSPEKTUR POLISI SATU</t>
  </si>
  <si>
    <t>01/12/2004</t>
  </si>
  <si>
    <t>KEP/2044/XII/2004</t>
  </si>
  <si>
    <t>19/11/2004</t>
  </si>
  <si>
    <t>Jl. Kramat Raya No. 70</t>
  </si>
  <si>
    <t>06</t>
  </si>
  <si>
    <t>Kramat, Senen, Jakarta Pusat</t>
  </si>
  <si>
    <t>10450</t>
  </si>
  <si>
    <t>0213901288</t>
  </si>
  <si>
    <t>081234550128</t>
  </si>
  <si>
    <t>ahmad.fauzi@mail.com</t>
  </si>
  <si>
    <t>REQ-2026-00944</t>
  </si>
  <si>
    <t>Surat Permohonan KC Jakarta Pusat.pdf; Fotokopi KPA.pdf; SKEP Pengangkatan.pdf</t>
  </si>
  <si>
    <t>Data peserta dengan NRP yang sama sudah tersedia di YANDU NextGen — pengajuan ganda.</t>
  </si>
  <si>
    <t>SPP-2026-00127</t>
  </si>
  <si>
    <t>25/08/2026</t>
  </si>
  <si>
    <t>LA940215</t>
  </si>
  <si>
    <t>Gunawan Prasetyo</t>
  </si>
  <si>
    <t>197405092000031003</t>
  </si>
  <si>
    <t>3273120905740002</t>
  </si>
  <si>
    <t>52.884.160.7-137.000</t>
  </si>
  <si>
    <t>BANDUNG</t>
  </si>
  <si>
    <t>09/05/1974</t>
  </si>
  <si>
    <t>KODIM 0618/KOTA BANDUNG</t>
  </si>
  <si>
    <t>LETNAN DUA</t>
  </si>
  <si>
    <t>KAPTEN</t>
  </si>
  <si>
    <t>01/03/2000</t>
  </si>
  <si>
    <t>KEP/1712/III/2000</t>
  </si>
  <si>
    <t>17/02/2000</t>
  </si>
  <si>
    <t>Satyalancana Kesetiaan XVI Tahun</t>
  </si>
  <si>
    <t>Jl. Manado No. 22</t>
  </si>
  <si>
    <t>07</t>
  </si>
  <si>
    <t>Cihapit, Bandung Wetan, Kota Bandung</t>
  </si>
  <si>
    <t>40114</t>
  </si>
  <si>
    <t>0224201567</t>
  </si>
  <si>
    <t>081234550127</t>
  </si>
  <si>
    <t>gunawan.prasetyo@mail.com</t>
  </si>
  <si>
    <t>KC Bandung</t>
  </si>
  <si>
    <t>Officer KC — F. Kurniawan</t>
  </si>
  <si>
    <t>REQ-2026-00931</t>
  </si>
  <si>
    <t>Surat Permohonan KC Bandung.pdf; Fotokopi KPA.pdf; SKEP Pengangkatan.pdf; KTP &amp; KK.pdf</t>
  </si>
  <si>
    <t>Disetujui — data peserta diinput baru sesuai SKEP pengangkatan dan dokumen pendukung.</t>
  </si>
  <si>
    <t>SPP-2026-00126</t>
  </si>
  <si>
    <t>21/08/2026</t>
  </si>
  <si>
    <t>CD050628</t>
  </si>
  <si>
    <t>Fitri Handayani</t>
  </si>
  <si>
    <t>198809272014022005</t>
  </si>
  <si>
    <t>3171066709880002</t>
  </si>
  <si>
    <t>71.906.542.1-019.000</t>
  </si>
  <si>
    <t>BOGOR</t>
  </si>
  <si>
    <t>27/09/1988</t>
  </si>
  <si>
    <t>GOL.III/A</t>
  </si>
  <si>
    <t>PENATA MUDA</t>
  </si>
  <si>
    <t>01/02/2014</t>
  </si>
  <si>
    <t>KEP/377/II/2014</t>
  </si>
  <si>
    <t>16/01/2014</t>
  </si>
  <si>
    <t>Jl. Merdeka Barat No. 14</t>
  </si>
  <si>
    <t>0213845690</t>
  </si>
  <si>
    <t>081234550126</t>
  </si>
  <si>
    <t>fitri.handayani@mail.com</t>
  </si>
  <si>
    <t>REQ-2026-00917</t>
  </si>
  <si>
    <t>Surat Permohonan KC Jakarta Pusat.pdf; Fotokopi KPA.pdf; SK CPNS &amp; PNS.pdf</t>
  </si>
  <si>
    <t>SPP-2026-00125</t>
  </si>
  <si>
    <t>18/08/2026</t>
  </si>
  <si>
    <t>PB910433</t>
  </si>
  <si>
    <t>Iwan Kurniawan</t>
  </si>
  <si>
    <t>198011052003121002</t>
  </si>
  <si>
    <t>3273120511800005</t>
  </si>
  <si>
    <t>58.113.674.2-137.000</t>
  </si>
  <si>
    <t>CIMAHI</t>
  </si>
  <si>
    <t>05/11/1980</t>
  </si>
  <si>
    <t>POLRESTABES BANDUNG</t>
  </si>
  <si>
    <t>INSPEKTUR POLISI DUA</t>
  </si>
  <si>
    <t>AJUN KOMISARIS POLISI</t>
  </si>
  <si>
    <t>01/12/2003</t>
  </si>
  <si>
    <t>KEP/1988/XII/2003</t>
  </si>
  <si>
    <t>20/11/2003</t>
  </si>
  <si>
    <t>Jl. Merdeka No. 25</t>
  </si>
  <si>
    <t>Babakan Ciamis, Sumur Bandung, Kota Bandung</t>
  </si>
  <si>
    <t>40117</t>
  </si>
  <si>
    <t>0224230981</t>
  </si>
  <si>
    <t>081234550125</t>
  </si>
  <si>
    <t>iwan.kurniawan@mail.com</t>
  </si>
  <si>
    <t>REQ-2026-00904</t>
  </si>
  <si>
    <t>Surat Permohonan KC Bandung.pdf; Fotokopi KPA.pdf; SKEP Pengangkatan.pdf; Kartu Keluarga.pdf</t>
  </si>
  <si>
    <t>Disetujui — tidak ada data serupa, peserta diinput baru sesuai dokumen persyaratan.</t>
  </si>
  <si>
    <t>SPP-2026-00124</t>
  </si>
  <si>
    <t>14/08/2026</t>
  </si>
  <si>
    <t>AD980821</t>
  </si>
  <si>
    <t>Heru Santoso</t>
  </si>
  <si>
    <t>197106181993031007</t>
  </si>
  <si>
    <t>3526101806710004</t>
  </si>
  <si>
    <t>63.470.219.8-608.000</t>
  </si>
  <si>
    <t>BANGKALAN</t>
  </si>
  <si>
    <t>18/06/1971</t>
  </si>
  <si>
    <t>CERAI MATI</t>
  </si>
  <si>
    <t>KODIM 0829/BANGKALAN</t>
  </si>
  <si>
    <t>SERSAN KEPALA</t>
  </si>
  <si>
    <t>01/03/1993</t>
  </si>
  <si>
    <t>KEP/1455/III/1993</t>
  </si>
  <si>
    <t>15/02/1993</t>
  </si>
  <si>
    <t>Jl. Soekarno Hatta No. 5</t>
  </si>
  <si>
    <t>Mlajah, Bangkalan, Kabupaten Bangkalan</t>
  </si>
  <si>
    <t>69116</t>
  </si>
  <si>
    <t>0313095412</t>
  </si>
  <si>
    <t>081234550124</t>
  </si>
  <si>
    <t>heru.santoso@mail.com</t>
  </si>
  <si>
    <t>REQ-2026-00890</t>
  </si>
  <si>
    <t>Surat Permohonan KC Surabaya.pdf</t>
  </si>
  <si>
    <t>Fotokopi KPA dan SKEP tidak dilampirkan — dikembalikan ke Kantor Cabang.</t>
  </si>
  <si>
    <t>SPP-2026-00123</t>
  </si>
  <si>
    <t>11/08/2026</t>
  </si>
  <si>
    <t>AU710156</t>
  </si>
  <si>
    <t>Yusuf Ramadhan</t>
  </si>
  <si>
    <t>198707192009121002</t>
  </si>
  <si>
    <t>3520151907870002</t>
  </si>
  <si>
    <t>66.728.451.3-621.000</t>
  </si>
  <si>
    <t>19/07/1987</t>
  </si>
  <si>
    <t>01/12/2009</t>
  </si>
  <si>
    <t>KEP/2311/XII/2009</t>
  </si>
  <si>
    <t>18/11/2009</t>
  </si>
  <si>
    <t>Lanud Iswahjudi Blok C No. 7</t>
  </si>
  <si>
    <t>0351779004</t>
  </si>
  <si>
    <t>081234550123</t>
  </si>
  <si>
    <t>yusuf.ramadhan@mail.com</t>
  </si>
  <si>
    <t>REQ-2026-00876</t>
  </si>
  <si>
    <t>Surat Permohonan KC Madiun.pdf; Fotokopi KPA.pdf; SKEP Pengangkatan.pdf; KTP &amp; KK.pdf</t>
  </si>
  <si>
    <t>Disetujui — data ditemukan pada arsip belum termigrasi dan cocok dengan dokumen persyaratan.</t>
  </si>
  <si>
    <t>SPP-2026-00122</t>
  </si>
  <si>
    <t>07/08/2026</t>
  </si>
  <si>
    <t>UA120933</t>
  </si>
  <si>
    <t>Dimas Prakoso</t>
  </si>
  <si>
    <t>199103222012011004</t>
  </si>
  <si>
    <t>3520152203910006</t>
  </si>
  <si>
    <t>70.145.998.2-621.000</t>
  </si>
  <si>
    <t>NGAWI</t>
  </si>
  <si>
    <t>22/03/1991</t>
  </si>
  <si>
    <t>01/01/2012</t>
  </si>
  <si>
    <t>KEP/311/I/2012</t>
  </si>
  <si>
    <t>08/12/2011</t>
  </si>
  <si>
    <t>Jl. Raya Barat No. 96</t>
  </si>
  <si>
    <t>081234550122</t>
  </si>
  <si>
    <t>dimas.prakoso@mail.com</t>
  </si>
  <si>
    <t>REQ-2026-00863</t>
  </si>
  <si>
    <t>SPP-2026-00121</t>
  </si>
  <si>
    <t>04/08/2026</t>
  </si>
  <si>
    <t>AD980714</t>
  </si>
  <si>
    <t>Slamet Riyadi</t>
  </si>
  <si>
    <t>196410051986031001</t>
  </si>
  <si>
    <t>3171060510640008</t>
  </si>
  <si>
    <t>44.309.812.5-019.000</t>
  </si>
  <si>
    <t>KLATEN</t>
  </si>
  <si>
    <t>05/10/1964</t>
  </si>
  <si>
    <t>KODIM 0501/JAKARTA PUSAT</t>
  </si>
  <si>
    <t>PEMBANTU LETNAN SATU</t>
  </si>
  <si>
    <t>01/03/1986</t>
  </si>
  <si>
    <t>KEP/1041/III/1986</t>
  </si>
  <si>
    <t>11/02/1986</t>
  </si>
  <si>
    <t>KEP/1520/IX/2022</t>
  </si>
  <si>
    <t>01/11/2022</t>
  </si>
  <si>
    <t>Jl. Kramat Raya No. 155</t>
  </si>
  <si>
    <t>Senen, Senen, Jakarta Pusat</t>
  </si>
  <si>
    <t>10410</t>
  </si>
  <si>
    <t>0213907711</t>
  </si>
  <si>
    <t>081234550121</t>
  </si>
  <si>
    <t>slamet.riyadi@mail.com</t>
  </si>
  <si>
    <t>REQ-2026-00849</t>
  </si>
  <si>
    <t>Surat Permohonan KC Jakarta Pusat.pdf; Fotokopi KPA.pdf; SKEP Pensiun.pdf</t>
  </si>
  <si>
    <t>Tanggal lahir pada KTP berbeda dengan SKEP pensiun — perlu surat keterangan perbaikan data.</t>
  </si>
  <si>
    <t>SPP-2026-00120</t>
  </si>
  <si>
    <t>31/07/2026</t>
  </si>
  <si>
    <t>CD050512</t>
  </si>
  <si>
    <t>Retno Palupi</t>
  </si>
  <si>
    <t>198203142006042003</t>
  </si>
  <si>
    <t>3171065403820001</t>
  </si>
  <si>
    <t>59.622.180.4-019.000</t>
  </si>
  <si>
    <t>SEMARANG</t>
  </si>
  <si>
    <t>14/03/1982</t>
  </si>
  <si>
    <t>01/04/2006</t>
  </si>
  <si>
    <t>KEP/806/IV/2006</t>
  </si>
  <si>
    <t>21/03/2006</t>
  </si>
  <si>
    <t>Jl. Medan Merdeka Barat No. 13</t>
  </si>
  <si>
    <t>0213841122</t>
  </si>
  <si>
    <t>081234550120</t>
  </si>
  <si>
    <t>retno.palupi@mail.com</t>
  </si>
  <si>
    <t>REQ-2026-00835</t>
  </si>
  <si>
    <t>Surat Permohonan KC Jakarta Pusat.pdf; Fotokopi KPA.pdf; SK CPNS &amp; PNS.pdf; KTP &amp; KK.pdf</t>
  </si>
  <si>
    <t>Disetujui — data ASN diinput baru dan sudah dicocokkan dengan SK kepegawaian.</t>
  </si>
  <si>
    <t>SPP-2026-00119</t>
  </si>
  <si>
    <t>27/07/2026</t>
  </si>
  <si>
    <t>PB910327</t>
  </si>
  <si>
    <t>Agus Setiawan</t>
  </si>
  <si>
    <t>197505182000121001</t>
  </si>
  <si>
    <t>3515111805750003</t>
  </si>
  <si>
    <t>47.885.310.9-603.000</t>
  </si>
  <si>
    <t>18/05/1975</t>
  </si>
  <si>
    <t>AJUN INSPEKTUR POLISI DUA</t>
  </si>
  <si>
    <t>01/12/2000</t>
  </si>
  <si>
    <t>KEP/1902/XII/2000</t>
  </si>
  <si>
    <t>20/11/2000</t>
  </si>
  <si>
    <t>Jl. Raya Buduran No. 14</t>
  </si>
  <si>
    <t>Buduran, Buduran, Kabupaten Sidoarjo</t>
  </si>
  <si>
    <t>61252</t>
  </si>
  <si>
    <t>0318965120</t>
  </si>
  <si>
    <t>081234550119</t>
  </si>
  <si>
    <t>agus.setiawan@mail.com</t>
  </si>
  <si>
    <t>REQ-2026-00822</t>
  </si>
  <si>
    <t>Surat Permohonan KC Surabaya.pdf; Fotokopi KPA.pdf; SKEP Pengangkatan.pdf</t>
  </si>
  <si>
    <t>SPP-2026-00118</t>
  </si>
  <si>
    <t>22/06/2026</t>
  </si>
  <si>
    <t>LA940101</t>
  </si>
  <si>
    <t>Bambang Suryanto</t>
  </si>
  <si>
    <t>196812101990031002</t>
  </si>
  <si>
    <t>512480</t>
  </si>
  <si>
    <t>3578141012680003</t>
  </si>
  <si>
    <t>51.702.446.8-609.000</t>
  </si>
  <si>
    <t>10/12/1968</t>
  </si>
  <si>
    <t>SERSAN MAYOR</t>
  </si>
  <si>
    <t>01/03/1990</t>
  </si>
  <si>
    <t>KEP/1288/III/1990</t>
  </si>
  <si>
    <t>13/02/1990</t>
  </si>
  <si>
    <t>KEP/1104/VII/2024</t>
  </si>
  <si>
    <t>01/09/2024</t>
  </si>
  <si>
    <t>Jl. Hayam Wuruk No. 2</t>
  </si>
  <si>
    <t>0315678234</t>
  </si>
  <si>
    <t>081234550118</t>
  </si>
  <si>
    <t>bambang.suryanto@mail.com</t>
  </si>
  <si>
    <t>REQ-2026-00908</t>
  </si>
  <si>
    <t>Surat Permohonan KC Surabaya.pdf; Fotokopi KPA.pdf; SKEP Pensiun.pdf; KTP &amp; KK.pdf; Buku Tabungan.pdf</t>
  </si>
  <si>
    <t>Disetujui — data pensiunan ditemukan pada arsip belum termigrasi dan diaktifkan kembali.</t>
  </si>
  <si>
    <t>SPP-2026-00117</t>
  </si>
  <si>
    <t>19/06/2026</t>
  </si>
  <si>
    <t>LA930358</t>
  </si>
  <si>
    <t>Sunarto Wibowo</t>
  </si>
  <si>
    <t>196705121988031003</t>
  </si>
  <si>
    <t>3578141205670004</t>
  </si>
  <si>
    <t>12/05/1967</t>
  </si>
  <si>
    <t>01/03/1988</t>
  </si>
  <si>
    <t>KEP/1204/III/1988</t>
  </si>
  <si>
    <t>12/02/1988</t>
  </si>
  <si>
    <t>REQ-2026-00891</t>
  </si>
  <si>
    <t>SPP-2026-00116</t>
  </si>
  <si>
    <t>18/06/2026</t>
  </si>
  <si>
    <t>PB890219</t>
  </si>
  <si>
    <t>Marsudi Hartanto</t>
  </si>
  <si>
    <t>146732</t>
  </si>
  <si>
    <t>3374110809630002</t>
  </si>
  <si>
    <t>08/09/1963</t>
  </si>
  <si>
    <t>01/04/1985</t>
  </si>
  <si>
    <t>KEP/882/IV/1985</t>
  </si>
  <si>
    <t>18/03/1985</t>
  </si>
  <si>
    <t>KC Malang</t>
  </si>
  <si>
    <t>REQ-2026-00877</t>
  </si>
  <si>
    <t>Surat Permohonan KC Malang.pdf; Fotokopi KPA.pdf; SKEP Pensiun.pdf</t>
  </si>
  <si>
    <t>SPP-2026-00115</t>
  </si>
  <si>
    <t>17/06/2026</t>
  </si>
  <si>
    <t>CD040118</t>
  </si>
  <si>
    <t>Yuliana Kusumastuti</t>
  </si>
  <si>
    <t>197907142003122002</t>
  </si>
  <si>
    <t>3273125407790006</t>
  </si>
  <si>
    <t>14/07/1979</t>
  </si>
  <si>
    <t>ASN MABES TNI</t>
  </si>
  <si>
    <t>KEP/2117/XII/2003</t>
  </si>
  <si>
    <t>REQ-2026-00860</t>
  </si>
  <si>
    <t>Surat Permohonan KC Bandung.pdf; Fotokopi KPA.pdf; SK CPNS &amp; PNS.pdf; KTP &amp; KK.pdf</t>
  </si>
  <si>
    <t>SPP-2026-00114</t>
  </si>
  <si>
    <t>16/06/2026</t>
  </si>
  <si>
    <t>AD970522</t>
  </si>
  <si>
    <t>Teguh Priyanto</t>
  </si>
  <si>
    <t>197203201995031004</t>
  </si>
  <si>
    <t>3372012003720003</t>
  </si>
  <si>
    <t>20/03/1972</t>
  </si>
  <si>
    <t>KODIM 0733/SURAKARTA</t>
  </si>
  <si>
    <t>01/03/1995</t>
  </si>
  <si>
    <t>KEP/1533/III/1995</t>
  </si>
  <si>
    <t>14/02/1995</t>
  </si>
  <si>
    <t>KC Solo</t>
  </si>
  <si>
    <t>Officer KC — H. Prabowo</t>
  </si>
  <si>
    <t>REQ-2026-00842</t>
  </si>
  <si>
    <t>Surat Permohonan KC Solo.pdf; Fotokopi KPA.pdf; SKEP Pensiun.pdf</t>
  </si>
  <si>
    <t>Data ditemukan pada arsip belum termigrasi, diaktifkan kembali sesuai dokumen persyaratan.</t>
  </si>
  <si>
    <t>SPP-2026-00113</t>
  </si>
  <si>
    <t>15/06/2026</t>
  </si>
  <si>
    <t>UA110482</t>
  </si>
  <si>
    <t>Rizal Maulana</t>
  </si>
  <si>
    <t>198806112011011003</t>
  </si>
  <si>
    <t>3175061106880004</t>
  </si>
  <si>
    <t>11/06/1988</t>
  </si>
  <si>
    <t>LANUD ISWAHJUDI</t>
  </si>
  <si>
    <t>KEP/318/I/2011</t>
  </si>
  <si>
    <t>09/12/2010</t>
  </si>
  <si>
    <t>REQ-2026-00830</t>
  </si>
  <si>
    <t>Tidak ditemukan pada rekomendasi sistem, data diinput baru sesuai dokumen persyaratan.</t>
  </si>
  <si>
    <t>SPP-2026-00112</t>
  </si>
  <si>
    <t>12/06/2026</t>
  </si>
  <si>
    <t>CD860410</t>
  </si>
  <si>
    <t>Sri Wahyuni</t>
  </si>
  <si>
    <t>196204251985032001</t>
  </si>
  <si>
    <t>3374116504620009</t>
  </si>
  <si>
    <t>25/04/1962</t>
  </si>
  <si>
    <t>ASN KODAM IV/DIPONEGORO</t>
  </si>
  <si>
    <t>01/03/1985</t>
  </si>
  <si>
    <t>KEP/704/III/1985</t>
  </si>
  <si>
    <t>21/02/1985</t>
  </si>
  <si>
    <t>KC Semarang</t>
  </si>
  <si>
    <t>Officer KC — N. Safitri</t>
  </si>
  <si>
    <t>REQ-2026-00815</t>
  </si>
  <si>
    <t>Surat Permohonan KC Semarang.pdf; Fotokopi KPA.pdf; SKEP Pensiun.pdf; KTP &amp; KK.pdf</t>
  </si>
  <si>
    <t>Disetujui — data peserta aktif kembali dan siap dipakai Kantor Cabang untuk proses klaim.</t>
  </si>
  <si>
    <t>SPP-2026-00111</t>
  </si>
  <si>
    <t>10/06/2026</t>
  </si>
  <si>
    <t>AD130704</t>
  </si>
  <si>
    <t>Andi Firmansyah</t>
  </si>
  <si>
    <t>199001152013021005</t>
  </si>
  <si>
    <t>3273121501900002</t>
  </si>
  <si>
    <t>15/01/1990</t>
  </si>
  <si>
    <t>KODIM 0610/SUMEDANG</t>
  </si>
  <si>
    <t>01/02/2013</t>
  </si>
  <si>
    <t>KEP/995/II/2013</t>
  </si>
  <si>
    <t>15/01/2013</t>
  </si>
  <si>
    <t>REQ-2026-00802</t>
  </si>
  <si>
    <t>Surat Permohonan KC Bandung.pdf; Fotokopi KPA.pdf</t>
  </si>
  <si>
    <t>Dokumen SKEP tidak dilampirkan dan Nomor KPA tidak sesuai data Spersad — dikembalikan ke Kantor Cabang.</t>
  </si>
  <si>
    <t>Hubungan</t>
  </si>
  <si>
    <t>Nama Anggota</t>
  </si>
  <si>
    <t>Suami</t>
  </si>
  <si>
    <t>RIYADI SUSANTO</t>
  </si>
  <si>
    <t>3515110206830004</t>
  </si>
  <si>
    <t>1983-06-02</t>
  </si>
  <si>
    <t>Anak</t>
  </si>
  <si>
    <t>NAYLA PUTRI SUSANTO</t>
  </si>
  <si>
    <t>3515114509120002</t>
  </si>
  <si>
    <t>2012-09-05</t>
  </si>
  <si>
    <t>Istri</t>
  </si>
  <si>
    <t>MELATI ANGGRAENI</t>
  </si>
  <si>
    <t>3273126612770003</t>
  </si>
  <si>
    <t>1977-12-26</t>
  </si>
  <si>
    <t>FAJAR PRASETYO</t>
  </si>
  <si>
    <t>3273121503050001</t>
  </si>
  <si>
    <t>2005-03-15</t>
  </si>
  <si>
    <t>CITRA PRASETYO</t>
  </si>
  <si>
    <t>3273125808090004</t>
  </si>
  <si>
    <t>2009-08-18</t>
  </si>
  <si>
    <t>RIA SEPTIANI</t>
  </si>
  <si>
    <t>3273124109840006</t>
  </si>
  <si>
    <t>1984-09-01</t>
  </si>
  <si>
    <t>ARKAN KURNIAWAN</t>
  </si>
  <si>
    <t>3273121204110003</t>
  </si>
  <si>
    <t>2011-04-12</t>
  </si>
  <si>
    <t>ANITA RAHMAWATI</t>
  </si>
  <si>
    <t>3520155203900005</t>
  </si>
  <si>
    <t>1990-03-12</t>
  </si>
  <si>
    <t>ALIF RAMADHAN</t>
  </si>
  <si>
    <t>3520150207160001</t>
  </si>
  <si>
    <t>2016-07-02</t>
  </si>
  <si>
    <t>BAGUS WICAKSONO</t>
  </si>
  <si>
    <t>3171061105790002</t>
  </si>
  <si>
    <t>1979-05-11</t>
  </si>
  <si>
    <t>KEISHA WICAKSONO</t>
  </si>
  <si>
    <t>3171064802140007</t>
  </si>
  <si>
    <t>2014-02-08</t>
  </si>
  <si>
    <t>SUMIYATI</t>
  </si>
  <si>
    <t>3578146503720004</t>
  </si>
  <si>
    <t>1972-03-25</t>
  </si>
  <si>
    <t>RIZKY SURYANTO</t>
  </si>
  <si>
    <t>3578141809980002</t>
  </si>
  <si>
    <t>1998-09-18</t>
  </si>
  <si>
    <t>DINDA SURYANTO</t>
  </si>
  <si>
    <t>3578145712020006</t>
  </si>
  <si>
    <t>2002-12-17</t>
  </si>
  <si>
    <t>Pangkat</t>
  </si>
  <si>
    <t>TMT Pangkat</t>
  </si>
  <si>
    <t>Nomor SKEP</t>
  </si>
  <si>
    <t>Tanggal SKEP</t>
  </si>
  <si>
    <t>BRIGADIR POLISI</t>
  </si>
  <si>
    <t>01/07/2014</t>
  </si>
  <si>
    <t>KEP/1471/VII/2014</t>
  </si>
  <si>
    <t>20/06/2014</t>
  </si>
  <si>
    <t>01/01/2022</t>
  </si>
  <si>
    <t>KEP/188/I/2022</t>
  </si>
  <si>
    <t>15/12/2021</t>
  </si>
  <si>
    <t>LETNAN SATU</t>
  </si>
  <si>
    <t>01/04/2004</t>
  </si>
  <si>
    <t>KEP/912/IV/2004</t>
  </si>
  <si>
    <t>21/03/2004</t>
  </si>
  <si>
    <t>01/10/2010</t>
  </si>
  <si>
    <t>KEP/2260/X/2010</t>
  </si>
  <si>
    <t>18/09/2010</t>
  </si>
  <si>
    <t>INSPEKTUR POLISI SATU</t>
  </si>
  <si>
    <t>01/06/2009</t>
  </si>
  <si>
    <t>KEP/1043/VI/2009</t>
  </si>
  <si>
    <t>19/05/2009</t>
  </si>
  <si>
    <t>01/01/2018</t>
  </si>
  <si>
    <t>KEP/166/I/2018</t>
  </si>
  <si>
    <t>14/12/2017</t>
  </si>
  <si>
    <t>01/04/2013</t>
  </si>
  <si>
    <t>KEP/744/IV/2013</t>
  </si>
  <si>
    <t>20/03/2013</t>
  </si>
  <si>
    <t>01/10/2023</t>
  </si>
  <si>
    <t>KEP/2015/X/2023</t>
  </si>
  <si>
    <t>12/09/2023</t>
  </si>
  <si>
    <t>GOL.III/B</t>
  </si>
  <si>
    <t>01/04/2010</t>
  </si>
  <si>
    <t>KEP/704/IV/2010</t>
  </si>
  <si>
    <t>18/03/2010</t>
  </si>
  <si>
    <t>01/04/1996</t>
  </si>
  <si>
    <t>KEP/820/IV/1996</t>
  </si>
  <si>
    <t>19/03/1996</t>
  </si>
  <si>
    <t>01/04/2008</t>
  </si>
  <si>
    <t>KEP/915/IV/2008</t>
  </si>
  <si>
    <t>20/03/2008</t>
  </si>
  <si>
    <t>01/10/2016</t>
  </si>
  <si>
    <t>KEP/2188/X/2016</t>
  </si>
  <si>
    <t>15/09/2016</t>
  </si>
  <si>
    <t>Nama Kandidat</t>
  </si>
  <si>
    <t>Satker</t>
  </si>
  <si>
    <t>Sumber Data</t>
  </si>
  <si>
    <t>Kemiripan (%)</t>
  </si>
  <si>
    <t>HESTI PUSPITASARI</t>
  </si>
  <si>
    <t>Data Terhapus</t>
  </si>
  <si>
    <t>SUTRISNO ADI</t>
  </si>
  <si>
    <t>Arsip Yandu Lama</t>
  </si>
  <si>
    <t>RENDI SAPUTRA</t>
  </si>
  <si>
    <t>199506182017011030</t>
  </si>
  <si>
    <t>UA121046</t>
  </si>
  <si>
    <t>LANUD ABDULRACHMAN SALEH</t>
  </si>
  <si>
    <t>FITRI HANDAYANI</t>
  </si>
  <si>
    <t>Belum Termigrasi</t>
  </si>
  <si>
    <t>FITRIA HANDAYANI</t>
  </si>
  <si>
    <t>198809272014022050</t>
  </si>
  <si>
    <t>CD050631</t>
  </si>
  <si>
    <t>BIRO UMUM SETJEN KEMHAN</t>
  </si>
  <si>
    <t>YUSUF RAMADHAN</t>
  </si>
  <si>
    <t>SLAMET RIYADI</t>
  </si>
  <si>
    <t>05/10/1963</t>
  </si>
  <si>
    <t>AGUS SETIAWAN</t>
  </si>
  <si>
    <t>197505182000121010</t>
  </si>
  <si>
    <t>PB910329</t>
  </si>
  <si>
    <t>POLRES MOJOKERTO</t>
  </si>
  <si>
    <t>BAMBANG SURYANTO</t>
  </si>
  <si>
    <t>BAMBANG SURYANTA</t>
  </si>
  <si>
    <t>196812101990031020</t>
  </si>
  <si>
    <t>LA940108</t>
  </si>
  <si>
    <t>KODIM 0830 REM 084/BJ</t>
  </si>
  <si>
    <t>SUNARTO WIBOWO</t>
  </si>
  <si>
    <t>196705121988031030</t>
  </si>
  <si>
    <t>LA930391</t>
  </si>
  <si>
    <t>SUNARTA WIBAWA</t>
  </si>
  <si>
    <t>196706121988031007</t>
  </si>
  <si>
    <t>LA930412</t>
  </si>
  <si>
    <t>12/06/1967</t>
  </si>
  <si>
    <t>KODIM 0812/LAMONGAN</t>
  </si>
  <si>
    <t>MARSUDI HARTANTO</t>
  </si>
  <si>
    <t>MARSUDI HARTONO</t>
  </si>
  <si>
    <t>146723</t>
  </si>
  <si>
    <t>PB890281</t>
  </si>
  <si>
    <t>POLRESTA MALANG</t>
  </si>
  <si>
    <t>TEGUH PRIYANTO</t>
  </si>
  <si>
    <t>SRI WAHYUNI</t>
  </si>
  <si>
    <t>Data Dummy Pemulihan Data Peserta</t>
  </si>
  <si>
    <t>Sumber: DATA_SPP pada data.js (prototipe YANDU NextGen). Angka di bawah dihitung dengan rumus COUNTIF atas sheet Pengajuan.</t>
  </si>
  <si>
    <t>Jumlah Pengajuan</t>
  </si>
  <si>
    <t>Total</t>
  </si>
  <si>
    <t>Baris Data Keluarga</t>
  </si>
  <si>
    <t>Baris Data Pangkat</t>
  </si>
  <si>
    <t>Baris Rekomendasi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</si>
</sst>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64C66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  <xf numFmtId="49" fontId="1" fillId="2" borderId="1" xfId="0" applyNumberFormat="1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/>
    <xf numFmtId="1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ED45-7356-4763-9F39-6A6B600DC1FD}">
  <dimension ref="A1:B12"/>
  <sheetViews>
    <sheetView tabSelected="1" workbookViewId="0"/>
  </sheetViews>
  <sheetFormatPr defaultRowHeight="12.5" x14ac:dyDescent="0.25"/>
  <cols>
    <col min="1" max="1" width="26.6328125" style="1" customWidth="1"/>
    <col min="2" max="2" width="18.6328125" style="1" customWidth="1"/>
    <col min="3" max="16384" width="8.7265625" style="1"/>
  </cols>
  <sheetData>
    <row r="1" spans="1:2" ht="18" x14ac:dyDescent="0.4">
      <c r="A1" s="8" t="s">
        <v>672</v>
      </c>
    </row>
    <row r="2" spans="1:2" ht="13" x14ac:dyDescent="0.3">
      <c r="A2" s="9" t="s">
        <v>673</v>
      </c>
    </row>
    <row r="4" spans="1:2" ht="13" x14ac:dyDescent="0.3">
      <c r="A4" s="11" t="s">
        <v>2</v>
      </c>
      <c r="B4" s="11" t="s">
        <v>674</v>
      </c>
    </row>
    <row r="5" spans="1:2" x14ac:dyDescent="0.25">
      <c r="A5" s="1" t="s">
        <v>41</v>
      </c>
      <c r="B5" s="1">
        <f>COUNTIF(Pengajuan!$C$2:$C$25,A5)</f>
        <v>10</v>
      </c>
    </row>
    <row r="6" spans="1:2" x14ac:dyDescent="0.25">
      <c r="A6" s="1" t="s">
        <v>102</v>
      </c>
      <c r="B6" s="1">
        <f>COUNTIF(Pengajuan!$C$2:$C$25,A6)</f>
        <v>8</v>
      </c>
    </row>
    <row r="7" spans="1:2" x14ac:dyDescent="0.25">
      <c r="A7" s="1" t="s">
        <v>132</v>
      </c>
      <c r="B7" s="1">
        <f>COUNTIF(Pengajuan!$C$2:$C$25,A7)</f>
        <v>6</v>
      </c>
    </row>
    <row r="8" spans="1:2" ht="13" x14ac:dyDescent="0.3">
      <c r="A8" s="10" t="s">
        <v>675</v>
      </c>
      <c r="B8" s="10">
        <f>SUM(B5:B7)</f>
        <v>24</v>
      </c>
    </row>
    <row r="10" spans="1:2" x14ac:dyDescent="0.25">
      <c r="A10" s="1" t="s">
        <v>676</v>
      </c>
      <c r="B10" s="1">
        <f>COUNTA('Data Keluarga'!A2:A1000)</f>
        <v>14</v>
      </c>
    </row>
    <row r="11" spans="1:2" x14ac:dyDescent="0.25">
      <c r="A11" s="1" t="s">
        <v>677</v>
      </c>
      <c r="B11" s="1">
        <f>COUNTA('Data Pangkat'!A2:A1000)</f>
        <v>18</v>
      </c>
    </row>
    <row r="12" spans="1:2" x14ac:dyDescent="0.25">
      <c r="A12" s="1" t="s">
        <v>678</v>
      </c>
      <c r="B12" s="1">
        <f>COUNTA(Rekomendasi!A2:A1000)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8C32-6D51-4684-B1DD-0A9440708955}">
  <dimension ref="A1:AM25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14.7265625" style="2" bestFit="1" customWidth="1"/>
    <col min="2" max="2" width="9.90625" style="2" bestFit="1" customWidth="1"/>
    <col min="3" max="3" width="7.90625" style="2" bestFit="1" customWidth="1"/>
    <col min="4" max="4" width="9.36328125" style="2" bestFit="1" customWidth="1"/>
    <col min="5" max="5" width="17" style="2" bestFit="1" customWidth="1"/>
    <col min="6" max="6" width="19" style="2" bestFit="1" customWidth="1"/>
    <col min="7" max="7" width="6.81640625" style="2" bestFit="1" customWidth="1"/>
    <col min="8" max="8" width="17" style="2" bestFit="1" customWidth="1"/>
    <col min="9" max="9" width="18.81640625" style="2" bestFit="1" customWidth="1"/>
    <col min="10" max="10" width="11.54296875" style="2" bestFit="1" customWidth="1"/>
    <col min="11" max="12" width="9.90625" style="2" bestFit="1" customWidth="1"/>
    <col min="13" max="13" width="15.54296875" style="2" bestFit="1" customWidth="1"/>
    <col min="14" max="14" width="8.26953125" style="2" bestFit="1" customWidth="1"/>
    <col min="15" max="15" width="7.81640625" style="2" bestFit="1" customWidth="1"/>
    <col min="16" max="16" width="8.26953125" style="2" bestFit="1" customWidth="1"/>
    <col min="17" max="17" width="34.90625" style="2" bestFit="1" customWidth="1"/>
    <col min="18" max="18" width="21.7265625" style="2" bestFit="1" customWidth="1"/>
    <col min="19" max="19" width="27.81640625" style="2" bestFit="1" customWidth="1"/>
    <col min="20" max="20" width="17.7265625" style="2" bestFit="1" customWidth="1"/>
    <col min="21" max="22" width="17.81640625" style="2" bestFit="1" customWidth="1"/>
    <col min="23" max="23" width="16.36328125" style="2" bestFit="1" customWidth="1"/>
    <col min="24" max="24" width="13.1796875" style="2" bestFit="1" customWidth="1"/>
    <col min="25" max="25" width="30.453125" style="2" bestFit="1" customWidth="1"/>
    <col min="26" max="26" width="28" style="2" bestFit="1" customWidth="1"/>
    <col min="27" max="27" width="3.26953125" style="2" bestFit="1" customWidth="1"/>
    <col min="28" max="28" width="3.81640625" style="2" bestFit="1" customWidth="1"/>
    <col min="29" max="29" width="40.26953125" style="2" bestFit="1" customWidth="1"/>
    <col min="30" max="30" width="5.81640625" style="2" bestFit="1" customWidth="1"/>
    <col min="31" max="31" width="10.81640625" style="2" bestFit="1" customWidth="1"/>
    <col min="32" max="32" width="12.90625" style="2" bestFit="1" customWidth="1"/>
    <col min="33" max="33" width="24.7265625" style="2" bestFit="1" customWidth="1"/>
    <col min="34" max="34" width="15" style="2" bestFit="1" customWidth="1"/>
    <col min="35" max="35" width="23.36328125" style="2" bestFit="1" customWidth="1"/>
    <col min="36" max="36" width="15.08984375" style="2" bestFit="1" customWidth="1"/>
    <col min="37" max="37" width="7" style="3" bestFit="1" customWidth="1"/>
    <col min="38" max="39" width="42.6328125" style="2" customWidth="1"/>
    <col min="40" max="16384" width="8.7265625" style="1"/>
  </cols>
  <sheetData>
    <row r="1" spans="1:39" ht="2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4" t="s">
        <v>37</v>
      </c>
      <c r="AM1" s="4" t="s">
        <v>38</v>
      </c>
    </row>
    <row r="2" spans="1:39" x14ac:dyDescent="0.25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45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45</v>
      </c>
      <c r="X2" s="6" t="s">
        <v>45</v>
      </c>
      <c r="Y2" s="6" t="s">
        <v>45</v>
      </c>
      <c r="Z2" s="6" t="s">
        <v>60</v>
      </c>
      <c r="AA2" s="6" t="s">
        <v>61</v>
      </c>
      <c r="AB2" s="6" t="s">
        <v>62</v>
      </c>
      <c r="AC2" s="6" t="s">
        <v>63</v>
      </c>
      <c r="AD2" s="6" t="s">
        <v>64</v>
      </c>
      <c r="AE2" s="6" t="s">
        <v>45</v>
      </c>
      <c r="AF2" s="6" t="s">
        <v>65</v>
      </c>
      <c r="AG2" s="6" t="s">
        <v>66</v>
      </c>
      <c r="AH2" s="6" t="s">
        <v>67</v>
      </c>
      <c r="AI2" s="6" t="s">
        <v>68</v>
      </c>
      <c r="AJ2" s="6" t="s">
        <v>69</v>
      </c>
      <c r="AK2" s="7">
        <v>0</v>
      </c>
      <c r="AL2" s="6" t="s">
        <v>45</v>
      </c>
      <c r="AM2" s="6" t="s">
        <v>70</v>
      </c>
    </row>
    <row r="3" spans="1:39" x14ac:dyDescent="0.25">
      <c r="A3" s="6" t="s">
        <v>71</v>
      </c>
      <c r="B3" s="6" t="s">
        <v>72</v>
      </c>
      <c r="C3" s="6" t="s">
        <v>41</v>
      </c>
      <c r="D3" s="6" t="s">
        <v>73</v>
      </c>
      <c r="E3" s="6" t="s">
        <v>74</v>
      </c>
      <c r="F3" s="6" t="s">
        <v>75</v>
      </c>
      <c r="G3" s="6" t="s">
        <v>45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49</v>
      </c>
      <c r="M3" s="6" t="s">
        <v>80</v>
      </c>
      <c r="N3" s="6" t="s">
        <v>81</v>
      </c>
      <c r="O3" s="6" t="s">
        <v>52</v>
      </c>
      <c r="P3" s="6" t="s">
        <v>82</v>
      </c>
      <c r="Q3" s="6" t="s">
        <v>83</v>
      </c>
      <c r="R3" s="6" t="s">
        <v>55</v>
      </c>
      <c r="S3" s="6" t="s">
        <v>84</v>
      </c>
      <c r="T3" s="6" t="s">
        <v>85</v>
      </c>
      <c r="U3" s="6" t="s">
        <v>86</v>
      </c>
      <c r="V3" s="6" t="s">
        <v>87</v>
      </c>
      <c r="W3" s="6" t="s">
        <v>45</v>
      </c>
      <c r="X3" s="6" t="s">
        <v>45</v>
      </c>
      <c r="Y3" s="6" t="s">
        <v>45</v>
      </c>
      <c r="Z3" s="6" t="s">
        <v>88</v>
      </c>
      <c r="AA3" s="6" t="s">
        <v>89</v>
      </c>
      <c r="AB3" s="6" t="s">
        <v>90</v>
      </c>
      <c r="AC3" s="6" t="s">
        <v>91</v>
      </c>
      <c r="AD3" s="6" t="s">
        <v>92</v>
      </c>
      <c r="AE3" s="6" t="s">
        <v>93</v>
      </c>
      <c r="AF3" s="6" t="s">
        <v>94</v>
      </c>
      <c r="AG3" s="6" t="s">
        <v>95</v>
      </c>
      <c r="AH3" s="6" t="s">
        <v>96</v>
      </c>
      <c r="AI3" s="6" t="s">
        <v>97</v>
      </c>
      <c r="AJ3" s="6" t="s">
        <v>98</v>
      </c>
      <c r="AK3" s="7">
        <v>3</v>
      </c>
      <c r="AL3" s="6" t="s">
        <v>99</v>
      </c>
      <c r="AM3" s="6" t="s">
        <v>45</v>
      </c>
    </row>
    <row r="4" spans="1:39" x14ac:dyDescent="0.25">
      <c r="A4" s="6" t="s">
        <v>100</v>
      </c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45</v>
      </c>
      <c r="H4" s="6" t="s">
        <v>106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80</v>
      </c>
      <c r="N4" s="6" t="s">
        <v>111</v>
      </c>
      <c r="O4" s="6" t="s">
        <v>52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115</v>
      </c>
      <c r="U4" s="6" t="s">
        <v>116</v>
      </c>
      <c r="V4" s="6" t="s">
        <v>117</v>
      </c>
      <c r="W4" s="6" t="s">
        <v>45</v>
      </c>
      <c r="X4" s="6" t="s">
        <v>45</v>
      </c>
      <c r="Y4" s="6" t="s">
        <v>118</v>
      </c>
      <c r="Z4" s="6" t="s">
        <v>119</v>
      </c>
      <c r="AA4" s="6" t="s">
        <v>120</v>
      </c>
      <c r="AB4" s="6" t="s">
        <v>121</v>
      </c>
      <c r="AC4" s="6" t="s">
        <v>122</v>
      </c>
      <c r="AD4" s="6" t="s">
        <v>123</v>
      </c>
      <c r="AE4" s="6" t="s">
        <v>124</v>
      </c>
      <c r="AF4" s="6" t="s">
        <v>125</v>
      </c>
      <c r="AG4" s="6" t="s">
        <v>126</v>
      </c>
      <c r="AH4" s="6" t="s">
        <v>67</v>
      </c>
      <c r="AI4" s="6" t="s">
        <v>68</v>
      </c>
      <c r="AJ4" s="6" t="s">
        <v>127</v>
      </c>
      <c r="AK4" s="7">
        <v>4</v>
      </c>
      <c r="AL4" s="6" t="s">
        <v>128</v>
      </c>
      <c r="AM4" s="6" t="s">
        <v>129</v>
      </c>
    </row>
    <row r="5" spans="1:39" x14ac:dyDescent="0.25">
      <c r="A5" s="6" t="s">
        <v>130</v>
      </c>
      <c r="B5" s="6" t="s">
        <v>131</v>
      </c>
      <c r="C5" s="6" t="s">
        <v>132</v>
      </c>
      <c r="D5" s="6" t="s">
        <v>133</v>
      </c>
      <c r="E5" s="6" t="s">
        <v>134</v>
      </c>
      <c r="F5" s="6" t="s">
        <v>135</v>
      </c>
      <c r="G5" s="6" t="s">
        <v>45</v>
      </c>
      <c r="H5" s="6" t="s">
        <v>136</v>
      </c>
      <c r="I5" s="6" t="s">
        <v>137</v>
      </c>
      <c r="J5" s="6" t="s">
        <v>138</v>
      </c>
      <c r="K5" s="6" t="s">
        <v>139</v>
      </c>
      <c r="L5" s="6" t="s">
        <v>49</v>
      </c>
      <c r="M5" s="6" t="s">
        <v>80</v>
      </c>
      <c r="N5" s="6" t="s">
        <v>140</v>
      </c>
      <c r="O5" s="6" t="s">
        <v>141</v>
      </c>
      <c r="P5" s="6" t="s">
        <v>140</v>
      </c>
      <c r="Q5" s="6" t="s">
        <v>142</v>
      </c>
      <c r="R5" s="6" t="s">
        <v>143</v>
      </c>
      <c r="S5" s="6" t="s">
        <v>144</v>
      </c>
      <c r="T5" s="6" t="s">
        <v>145</v>
      </c>
      <c r="U5" s="6" t="s">
        <v>146</v>
      </c>
      <c r="V5" s="6" t="s">
        <v>147</v>
      </c>
      <c r="W5" s="6" t="s">
        <v>45</v>
      </c>
      <c r="X5" s="6" t="s">
        <v>45</v>
      </c>
      <c r="Y5" s="6" t="s">
        <v>45</v>
      </c>
      <c r="Z5" s="6" t="s">
        <v>148</v>
      </c>
      <c r="AA5" s="6" t="s">
        <v>90</v>
      </c>
      <c r="AB5" s="6" t="s">
        <v>89</v>
      </c>
      <c r="AC5" s="6" t="s">
        <v>149</v>
      </c>
      <c r="AD5" s="6" t="s">
        <v>150</v>
      </c>
      <c r="AE5" s="6" t="s">
        <v>151</v>
      </c>
      <c r="AF5" s="6" t="s">
        <v>152</v>
      </c>
      <c r="AG5" s="6" t="s">
        <v>153</v>
      </c>
      <c r="AH5" s="6" t="s">
        <v>154</v>
      </c>
      <c r="AI5" s="6" t="s">
        <v>155</v>
      </c>
      <c r="AJ5" s="6" t="s">
        <v>156</v>
      </c>
      <c r="AK5" s="7">
        <v>2</v>
      </c>
      <c r="AL5" s="6" t="s">
        <v>157</v>
      </c>
      <c r="AM5" s="6" t="s">
        <v>158</v>
      </c>
    </row>
    <row r="6" spans="1:39" x14ac:dyDescent="0.25">
      <c r="A6" s="6" t="s">
        <v>159</v>
      </c>
      <c r="B6" s="6" t="s">
        <v>160</v>
      </c>
      <c r="C6" s="6" t="s">
        <v>102</v>
      </c>
      <c r="D6" s="6" t="s">
        <v>161</v>
      </c>
      <c r="E6" s="6" t="s">
        <v>162</v>
      </c>
      <c r="F6" s="6" t="s">
        <v>163</v>
      </c>
      <c r="G6" s="6" t="s">
        <v>45</v>
      </c>
      <c r="H6" s="6" t="s">
        <v>164</v>
      </c>
      <c r="I6" s="6" t="s">
        <v>165</v>
      </c>
      <c r="J6" s="6" t="s">
        <v>166</v>
      </c>
      <c r="K6" s="6" t="s">
        <v>167</v>
      </c>
      <c r="L6" s="6" t="s">
        <v>49</v>
      </c>
      <c r="M6" s="6" t="s">
        <v>80</v>
      </c>
      <c r="N6" s="6" t="s">
        <v>51</v>
      </c>
      <c r="O6" s="6" t="s">
        <v>52</v>
      </c>
      <c r="P6" s="6" t="s">
        <v>53</v>
      </c>
      <c r="Q6" s="6" t="s">
        <v>168</v>
      </c>
      <c r="R6" s="6" t="s">
        <v>55</v>
      </c>
      <c r="S6" s="6" t="s">
        <v>169</v>
      </c>
      <c r="T6" s="6" t="s">
        <v>170</v>
      </c>
      <c r="U6" s="6" t="s">
        <v>171</v>
      </c>
      <c r="V6" s="6" t="s">
        <v>172</v>
      </c>
      <c r="W6" s="6" t="s">
        <v>173</v>
      </c>
      <c r="X6" s="6" t="s">
        <v>174</v>
      </c>
      <c r="Y6" s="6" t="s">
        <v>175</v>
      </c>
      <c r="Z6" s="6" t="s">
        <v>176</v>
      </c>
      <c r="AA6" s="6" t="s">
        <v>89</v>
      </c>
      <c r="AB6" s="6" t="s">
        <v>61</v>
      </c>
      <c r="AC6" s="6" t="s">
        <v>177</v>
      </c>
      <c r="AD6" s="6" t="s">
        <v>178</v>
      </c>
      <c r="AE6" s="6" t="s">
        <v>179</v>
      </c>
      <c r="AF6" s="6" t="s">
        <v>180</v>
      </c>
      <c r="AG6" s="6" t="s">
        <v>181</v>
      </c>
      <c r="AH6" s="6" t="s">
        <v>67</v>
      </c>
      <c r="AI6" s="6" t="s">
        <v>182</v>
      </c>
      <c r="AJ6" s="6" t="s">
        <v>183</v>
      </c>
      <c r="AK6" s="7">
        <v>4</v>
      </c>
      <c r="AL6" s="6" t="s">
        <v>184</v>
      </c>
      <c r="AM6" s="6" t="s">
        <v>185</v>
      </c>
    </row>
    <row r="7" spans="1:39" x14ac:dyDescent="0.25">
      <c r="A7" s="6" t="s">
        <v>186</v>
      </c>
      <c r="B7" s="6" t="s">
        <v>187</v>
      </c>
      <c r="C7" s="6" t="s">
        <v>132</v>
      </c>
      <c r="D7" s="6" t="s">
        <v>188</v>
      </c>
      <c r="E7" s="6" t="s">
        <v>189</v>
      </c>
      <c r="F7" s="6" t="s">
        <v>190</v>
      </c>
      <c r="G7" s="6" t="s">
        <v>45</v>
      </c>
      <c r="H7" s="6" t="s">
        <v>191</v>
      </c>
      <c r="I7" s="6" t="s">
        <v>45</v>
      </c>
      <c r="J7" s="6" t="s">
        <v>192</v>
      </c>
      <c r="K7" s="6" t="s">
        <v>193</v>
      </c>
      <c r="L7" s="6" t="s">
        <v>49</v>
      </c>
      <c r="M7" s="6" t="s">
        <v>50</v>
      </c>
      <c r="N7" s="6" t="s">
        <v>81</v>
      </c>
      <c r="O7" s="6" t="s">
        <v>52</v>
      </c>
      <c r="P7" s="6" t="s">
        <v>82</v>
      </c>
      <c r="Q7" s="6" t="s">
        <v>83</v>
      </c>
      <c r="R7" s="6" t="s">
        <v>55</v>
      </c>
      <c r="S7" s="6" t="s">
        <v>194</v>
      </c>
      <c r="T7" s="6" t="s">
        <v>195</v>
      </c>
      <c r="U7" s="6" t="s">
        <v>196</v>
      </c>
      <c r="V7" s="6" t="s">
        <v>197</v>
      </c>
      <c r="W7" s="6" t="s">
        <v>45</v>
      </c>
      <c r="X7" s="6" t="s">
        <v>45</v>
      </c>
      <c r="Y7" s="6" t="s">
        <v>45</v>
      </c>
      <c r="Z7" s="6" t="s">
        <v>198</v>
      </c>
      <c r="AA7" s="6" t="s">
        <v>62</v>
      </c>
      <c r="AB7" s="6" t="s">
        <v>120</v>
      </c>
      <c r="AC7" s="6" t="s">
        <v>91</v>
      </c>
      <c r="AD7" s="6" t="s">
        <v>92</v>
      </c>
      <c r="AE7" s="6" t="s">
        <v>45</v>
      </c>
      <c r="AF7" s="6" t="s">
        <v>199</v>
      </c>
      <c r="AG7" s="6" t="s">
        <v>200</v>
      </c>
      <c r="AH7" s="6" t="s">
        <v>96</v>
      </c>
      <c r="AI7" s="6" t="s">
        <v>97</v>
      </c>
      <c r="AJ7" s="6" t="s">
        <v>201</v>
      </c>
      <c r="AK7" s="7">
        <v>2</v>
      </c>
      <c r="AL7" s="6" t="s">
        <v>202</v>
      </c>
      <c r="AM7" s="6" t="s">
        <v>203</v>
      </c>
    </row>
    <row r="8" spans="1:39" x14ac:dyDescent="0.25">
      <c r="A8" s="6" t="s">
        <v>204</v>
      </c>
      <c r="B8" s="6" t="s">
        <v>205</v>
      </c>
      <c r="C8" s="6" t="s">
        <v>132</v>
      </c>
      <c r="D8" s="6" t="s">
        <v>206</v>
      </c>
      <c r="E8" s="6" t="s">
        <v>207</v>
      </c>
      <c r="F8" s="6" t="s">
        <v>208</v>
      </c>
      <c r="G8" s="6" t="s">
        <v>45</v>
      </c>
      <c r="H8" s="6" t="s">
        <v>209</v>
      </c>
      <c r="I8" s="6" t="s">
        <v>210</v>
      </c>
      <c r="J8" s="6" t="s">
        <v>138</v>
      </c>
      <c r="K8" s="6" t="s">
        <v>211</v>
      </c>
      <c r="L8" s="6" t="s">
        <v>49</v>
      </c>
      <c r="M8" s="6" t="s">
        <v>80</v>
      </c>
      <c r="N8" s="6" t="s">
        <v>111</v>
      </c>
      <c r="O8" s="6" t="s">
        <v>52</v>
      </c>
      <c r="P8" s="6" t="s">
        <v>111</v>
      </c>
      <c r="Q8" s="6" t="s">
        <v>212</v>
      </c>
      <c r="R8" s="6" t="s">
        <v>113</v>
      </c>
      <c r="S8" s="6" t="s">
        <v>213</v>
      </c>
      <c r="T8" s="6" t="s">
        <v>214</v>
      </c>
      <c r="U8" s="6" t="s">
        <v>215</v>
      </c>
      <c r="V8" s="6" t="s">
        <v>216</v>
      </c>
      <c r="W8" s="6" t="s">
        <v>45</v>
      </c>
      <c r="X8" s="6" t="s">
        <v>45</v>
      </c>
      <c r="Y8" s="6" t="s">
        <v>45</v>
      </c>
      <c r="Z8" s="6" t="s">
        <v>217</v>
      </c>
      <c r="AA8" s="6" t="s">
        <v>218</v>
      </c>
      <c r="AB8" s="6" t="s">
        <v>89</v>
      </c>
      <c r="AC8" s="6" t="s">
        <v>219</v>
      </c>
      <c r="AD8" s="6" t="s">
        <v>220</v>
      </c>
      <c r="AE8" s="6" t="s">
        <v>221</v>
      </c>
      <c r="AF8" s="6" t="s">
        <v>222</v>
      </c>
      <c r="AG8" s="6" t="s">
        <v>223</v>
      </c>
      <c r="AH8" s="6" t="s">
        <v>154</v>
      </c>
      <c r="AI8" s="6" t="s">
        <v>155</v>
      </c>
      <c r="AJ8" s="6" t="s">
        <v>224</v>
      </c>
      <c r="AK8" s="7">
        <v>3</v>
      </c>
      <c r="AL8" s="6" t="s">
        <v>225</v>
      </c>
      <c r="AM8" s="6" t="s">
        <v>226</v>
      </c>
    </row>
    <row r="9" spans="1:39" x14ac:dyDescent="0.25">
      <c r="A9" s="6" t="s">
        <v>227</v>
      </c>
      <c r="B9" s="6" t="s">
        <v>228</v>
      </c>
      <c r="C9" s="6" t="s">
        <v>102</v>
      </c>
      <c r="D9" s="6" t="s">
        <v>229</v>
      </c>
      <c r="E9" s="6" t="s">
        <v>230</v>
      </c>
      <c r="F9" s="6" t="s">
        <v>231</v>
      </c>
      <c r="G9" s="6" t="s">
        <v>45</v>
      </c>
      <c r="H9" s="6" t="s">
        <v>232</v>
      </c>
      <c r="I9" s="6" t="s">
        <v>233</v>
      </c>
      <c r="J9" s="6" t="s">
        <v>234</v>
      </c>
      <c r="K9" s="6" t="s">
        <v>235</v>
      </c>
      <c r="L9" s="6" t="s">
        <v>49</v>
      </c>
      <c r="M9" s="6" t="s">
        <v>80</v>
      </c>
      <c r="N9" s="6" t="s">
        <v>51</v>
      </c>
      <c r="O9" s="6" t="s">
        <v>52</v>
      </c>
      <c r="P9" s="6" t="s">
        <v>53</v>
      </c>
      <c r="Q9" s="6" t="s">
        <v>236</v>
      </c>
      <c r="R9" s="6" t="s">
        <v>237</v>
      </c>
      <c r="S9" s="6" t="s">
        <v>238</v>
      </c>
      <c r="T9" s="6" t="s">
        <v>239</v>
      </c>
      <c r="U9" s="6" t="s">
        <v>240</v>
      </c>
      <c r="V9" s="6" t="s">
        <v>241</v>
      </c>
      <c r="W9" s="6" t="s">
        <v>45</v>
      </c>
      <c r="X9" s="6" t="s">
        <v>45</v>
      </c>
      <c r="Y9" s="6" t="s">
        <v>242</v>
      </c>
      <c r="Z9" s="6" t="s">
        <v>243</v>
      </c>
      <c r="AA9" s="6" t="s">
        <v>120</v>
      </c>
      <c r="AB9" s="6" t="s">
        <v>244</v>
      </c>
      <c r="AC9" s="6" t="s">
        <v>245</v>
      </c>
      <c r="AD9" s="6" t="s">
        <v>246</v>
      </c>
      <c r="AE9" s="6" t="s">
        <v>247</v>
      </c>
      <c r="AF9" s="6" t="s">
        <v>248</v>
      </c>
      <c r="AG9" s="6" t="s">
        <v>249</v>
      </c>
      <c r="AH9" s="6" t="s">
        <v>250</v>
      </c>
      <c r="AI9" s="6" t="s">
        <v>251</v>
      </c>
      <c r="AJ9" s="6" t="s">
        <v>252</v>
      </c>
      <c r="AK9" s="7">
        <v>4</v>
      </c>
      <c r="AL9" s="6" t="s">
        <v>253</v>
      </c>
      <c r="AM9" s="6" t="s">
        <v>254</v>
      </c>
    </row>
    <row r="10" spans="1:39" x14ac:dyDescent="0.25">
      <c r="A10" s="6" t="s">
        <v>255</v>
      </c>
      <c r="B10" s="6" t="s">
        <v>256</v>
      </c>
      <c r="C10" s="6" t="s">
        <v>41</v>
      </c>
      <c r="D10" s="6" t="s">
        <v>257</v>
      </c>
      <c r="E10" s="6" t="s">
        <v>258</v>
      </c>
      <c r="F10" s="6" t="s">
        <v>259</v>
      </c>
      <c r="G10" s="6" t="s">
        <v>45</v>
      </c>
      <c r="H10" s="6" t="s">
        <v>260</v>
      </c>
      <c r="I10" s="6" t="s">
        <v>261</v>
      </c>
      <c r="J10" s="6" t="s">
        <v>262</v>
      </c>
      <c r="K10" s="6" t="s">
        <v>263</v>
      </c>
      <c r="L10" s="6" t="s">
        <v>110</v>
      </c>
      <c r="M10" s="6" t="s">
        <v>80</v>
      </c>
      <c r="N10" s="6" t="s">
        <v>140</v>
      </c>
      <c r="O10" s="6" t="s">
        <v>141</v>
      </c>
      <c r="P10" s="6" t="s">
        <v>140</v>
      </c>
      <c r="Q10" s="6" t="s">
        <v>142</v>
      </c>
      <c r="R10" s="6" t="s">
        <v>264</v>
      </c>
      <c r="S10" s="6" t="s">
        <v>265</v>
      </c>
      <c r="T10" s="6" t="s">
        <v>266</v>
      </c>
      <c r="U10" s="6" t="s">
        <v>267</v>
      </c>
      <c r="V10" s="6" t="s">
        <v>268</v>
      </c>
      <c r="W10" s="6" t="s">
        <v>45</v>
      </c>
      <c r="X10" s="6" t="s">
        <v>45</v>
      </c>
      <c r="Y10" s="6" t="s">
        <v>45</v>
      </c>
      <c r="Z10" s="6" t="s">
        <v>269</v>
      </c>
      <c r="AA10" s="6" t="s">
        <v>61</v>
      </c>
      <c r="AB10" s="6" t="s">
        <v>120</v>
      </c>
      <c r="AC10" s="6" t="s">
        <v>149</v>
      </c>
      <c r="AD10" s="6" t="s">
        <v>150</v>
      </c>
      <c r="AE10" s="6" t="s">
        <v>270</v>
      </c>
      <c r="AF10" s="6" t="s">
        <v>271</v>
      </c>
      <c r="AG10" s="6" t="s">
        <v>272</v>
      </c>
      <c r="AH10" s="6" t="s">
        <v>154</v>
      </c>
      <c r="AI10" s="6" t="s">
        <v>155</v>
      </c>
      <c r="AJ10" s="6" t="s">
        <v>273</v>
      </c>
      <c r="AK10" s="7">
        <v>3</v>
      </c>
      <c r="AL10" s="6" t="s">
        <v>274</v>
      </c>
      <c r="AM10" s="6" t="s">
        <v>45</v>
      </c>
    </row>
    <row r="11" spans="1:39" x14ac:dyDescent="0.25">
      <c r="A11" s="6" t="s">
        <v>275</v>
      </c>
      <c r="B11" s="6" t="s">
        <v>276</v>
      </c>
      <c r="C11" s="6" t="s">
        <v>102</v>
      </c>
      <c r="D11" s="6" t="s">
        <v>277</v>
      </c>
      <c r="E11" s="6" t="s">
        <v>278</v>
      </c>
      <c r="F11" s="6" t="s">
        <v>279</v>
      </c>
      <c r="G11" s="6" t="s">
        <v>45</v>
      </c>
      <c r="H11" s="6" t="s">
        <v>280</v>
      </c>
      <c r="I11" s="6" t="s">
        <v>281</v>
      </c>
      <c r="J11" s="6" t="s">
        <v>282</v>
      </c>
      <c r="K11" s="6" t="s">
        <v>283</v>
      </c>
      <c r="L11" s="6" t="s">
        <v>49</v>
      </c>
      <c r="M11" s="6" t="s">
        <v>80</v>
      </c>
      <c r="N11" s="6" t="s">
        <v>111</v>
      </c>
      <c r="O11" s="6" t="s">
        <v>52</v>
      </c>
      <c r="P11" s="6" t="s">
        <v>111</v>
      </c>
      <c r="Q11" s="6" t="s">
        <v>284</v>
      </c>
      <c r="R11" s="6" t="s">
        <v>285</v>
      </c>
      <c r="S11" s="6" t="s">
        <v>286</v>
      </c>
      <c r="T11" s="6" t="s">
        <v>287</v>
      </c>
      <c r="U11" s="6" t="s">
        <v>288</v>
      </c>
      <c r="V11" s="6" t="s">
        <v>289</v>
      </c>
      <c r="W11" s="6" t="s">
        <v>45</v>
      </c>
      <c r="X11" s="6" t="s">
        <v>45</v>
      </c>
      <c r="Y11" s="6" t="s">
        <v>45</v>
      </c>
      <c r="Z11" s="6" t="s">
        <v>290</v>
      </c>
      <c r="AA11" s="6" t="s">
        <v>90</v>
      </c>
      <c r="AB11" s="6" t="s">
        <v>218</v>
      </c>
      <c r="AC11" s="6" t="s">
        <v>291</v>
      </c>
      <c r="AD11" s="6" t="s">
        <v>292</v>
      </c>
      <c r="AE11" s="6" t="s">
        <v>293</v>
      </c>
      <c r="AF11" s="6" t="s">
        <v>294</v>
      </c>
      <c r="AG11" s="6" t="s">
        <v>295</v>
      </c>
      <c r="AH11" s="6" t="s">
        <v>250</v>
      </c>
      <c r="AI11" s="6" t="s">
        <v>251</v>
      </c>
      <c r="AJ11" s="6" t="s">
        <v>296</v>
      </c>
      <c r="AK11" s="7">
        <v>4</v>
      </c>
      <c r="AL11" s="6" t="s">
        <v>297</v>
      </c>
      <c r="AM11" s="6" t="s">
        <v>298</v>
      </c>
    </row>
    <row r="12" spans="1:39" x14ac:dyDescent="0.25">
      <c r="A12" s="6" t="s">
        <v>299</v>
      </c>
      <c r="B12" s="6" t="s">
        <v>300</v>
      </c>
      <c r="C12" s="6" t="s">
        <v>132</v>
      </c>
      <c r="D12" s="6" t="s">
        <v>301</v>
      </c>
      <c r="E12" s="6" t="s">
        <v>302</v>
      </c>
      <c r="F12" s="6" t="s">
        <v>303</v>
      </c>
      <c r="G12" s="6" t="s">
        <v>45</v>
      </c>
      <c r="H12" s="6" t="s">
        <v>304</v>
      </c>
      <c r="I12" s="6" t="s">
        <v>305</v>
      </c>
      <c r="J12" s="6" t="s">
        <v>306</v>
      </c>
      <c r="K12" s="6" t="s">
        <v>307</v>
      </c>
      <c r="L12" s="6" t="s">
        <v>49</v>
      </c>
      <c r="M12" s="6" t="s">
        <v>308</v>
      </c>
      <c r="N12" s="6" t="s">
        <v>51</v>
      </c>
      <c r="O12" s="6" t="s">
        <v>52</v>
      </c>
      <c r="P12" s="6" t="s">
        <v>53</v>
      </c>
      <c r="Q12" s="6" t="s">
        <v>309</v>
      </c>
      <c r="R12" s="6" t="s">
        <v>55</v>
      </c>
      <c r="S12" s="6" t="s">
        <v>310</v>
      </c>
      <c r="T12" s="6" t="s">
        <v>311</v>
      </c>
      <c r="U12" s="6" t="s">
        <v>312</v>
      </c>
      <c r="V12" s="6" t="s">
        <v>313</v>
      </c>
      <c r="W12" s="6" t="s">
        <v>45</v>
      </c>
      <c r="X12" s="6" t="s">
        <v>45</v>
      </c>
      <c r="Y12" s="6" t="s">
        <v>45</v>
      </c>
      <c r="Z12" s="6" t="s">
        <v>314</v>
      </c>
      <c r="AA12" s="6" t="s">
        <v>89</v>
      </c>
      <c r="AB12" s="6" t="s">
        <v>89</v>
      </c>
      <c r="AC12" s="6" t="s">
        <v>315</v>
      </c>
      <c r="AD12" s="6" t="s">
        <v>316</v>
      </c>
      <c r="AE12" s="6" t="s">
        <v>317</v>
      </c>
      <c r="AF12" s="6" t="s">
        <v>318</v>
      </c>
      <c r="AG12" s="6" t="s">
        <v>319</v>
      </c>
      <c r="AH12" s="6" t="s">
        <v>67</v>
      </c>
      <c r="AI12" s="6" t="s">
        <v>182</v>
      </c>
      <c r="AJ12" s="6" t="s">
        <v>320</v>
      </c>
      <c r="AK12" s="7">
        <v>1</v>
      </c>
      <c r="AL12" s="6" t="s">
        <v>321</v>
      </c>
      <c r="AM12" s="6" t="s">
        <v>322</v>
      </c>
    </row>
    <row r="13" spans="1:39" x14ac:dyDescent="0.25">
      <c r="A13" s="6" t="s">
        <v>323</v>
      </c>
      <c r="B13" s="6" t="s">
        <v>324</v>
      </c>
      <c r="C13" s="6" t="s">
        <v>102</v>
      </c>
      <c r="D13" s="6" t="s">
        <v>325</v>
      </c>
      <c r="E13" s="6" t="s">
        <v>326</v>
      </c>
      <c r="F13" s="6" t="s">
        <v>327</v>
      </c>
      <c r="G13" s="6" t="s">
        <v>45</v>
      </c>
      <c r="H13" s="6" t="s">
        <v>328</v>
      </c>
      <c r="I13" s="6" t="s">
        <v>329</v>
      </c>
      <c r="J13" s="6" t="s">
        <v>78</v>
      </c>
      <c r="K13" s="6" t="s">
        <v>330</v>
      </c>
      <c r="L13" s="6" t="s">
        <v>49</v>
      </c>
      <c r="M13" s="6" t="s">
        <v>80</v>
      </c>
      <c r="N13" s="6" t="s">
        <v>81</v>
      </c>
      <c r="O13" s="6" t="s">
        <v>52</v>
      </c>
      <c r="P13" s="6" t="s">
        <v>82</v>
      </c>
      <c r="Q13" s="6" t="s">
        <v>83</v>
      </c>
      <c r="R13" s="6" t="s">
        <v>55</v>
      </c>
      <c r="S13" s="6" t="s">
        <v>169</v>
      </c>
      <c r="T13" s="6" t="s">
        <v>331</v>
      </c>
      <c r="U13" s="6" t="s">
        <v>332</v>
      </c>
      <c r="V13" s="6" t="s">
        <v>333</v>
      </c>
      <c r="W13" s="6" t="s">
        <v>45</v>
      </c>
      <c r="X13" s="6" t="s">
        <v>45</v>
      </c>
      <c r="Y13" s="6" t="s">
        <v>45</v>
      </c>
      <c r="Z13" s="6" t="s">
        <v>334</v>
      </c>
      <c r="AA13" s="6" t="s">
        <v>120</v>
      </c>
      <c r="AB13" s="6" t="s">
        <v>62</v>
      </c>
      <c r="AC13" s="6" t="s">
        <v>91</v>
      </c>
      <c r="AD13" s="6" t="s">
        <v>92</v>
      </c>
      <c r="AE13" s="6" t="s">
        <v>335</v>
      </c>
      <c r="AF13" s="6" t="s">
        <v>336</v>
      </c>
      <c r="AG13" s="6" t="s">
        <v>337</v>
      </c>
      <c r="AH13" s="6" t="s">
        <v>96</v>
      </c>
      <c r="AI13" s="6" t="s">
        <v>97</v>
      </c>
      <c r="AJ13" s="6" t="s">
        <v>338</v>
      </c>
      <c r="AK13" s="7">
        <v>4</v>
      </c>
      <c r="AL13" s="6" t="s">
        <v>339</v>
      </c>
      <c r="AM13" s="6" t="s">
        <v>340</v>
      </c>
    </row>
    <row r="14" spans="1:39" x14ac:dyDescent="0.25">
      <c r="A14" s="6" t="s">
        <v>341</v>
      </c>
      <c r="B14" s="6" t="s">
        <v>342</v>
      </c>
      <c r="C14" s="6" t="s">
        <v>41</v>
      </c>
      <c r="D14" s="6" t="s">
        <v>343</v>
      </c>
      <c r="E14" s="6" t="s">
        <v>344</v>
      </c>
      <c r="F14" s="6" t="s">
        <v>345</v>
      </c>
      <c r="G14" s="6" t="s">
        <v>45</v>
      </c>
      <c r="H14" s="6" t="s">
        <v>346</v>
      </c>
      <c r="I14" s="6" t="s">
        <v>347</v>
      </c>
      <c r="J14" s="6" t="s">
        <v>348</v>
      </c>
      <c r="K14" s="6" t="s">
        <v>349</v>
      </c>
      <c r="L14" s="6" t="s">
        <v>49</v>
      </c>
      <c r="M14" s="6" t="s">
        <v>80</v>
      </c>
      <c r="N14" s="6" t="s">
        <v>81</v>
      </c>
      <c r="O14" s="6" t="s">
        <v>52</v>
      </c>
      <c r="P14" s="6" t="s">
        <v>82</v>
      </c>
      <c r="Q14" s="6" t="s">
        <v>83</v>
      </c>
      <c r="R14" s="6" t="s">
        <v>55</v>
      </c>
      <c r="S14" s="6" t="s">
        <v>310</v>
      </c>
      <c r="T14" s="6" t="s">
        <v>350</v>
      </c>
      <c r="U14" s="6" t="s">
        <v>351</v>
      </c>
      <c r="V14" s="6" t="s">
        <v>352</v>
      </c>
      <c r="W14" s="6" t="s">
        <v>45</v>
      </c>
      <c r="X14" s="6" t="s">
        <v>45</v>
      </c>
      <c r="Y14" s="6" t="s">
        <v>45</v>
      </c>
      <c r="Z14" s="6" t="s">
        <v>353</v>
      </c>
      <c r="AA14" s="6" t="s">
        <v>61</v>
      </c>
      <c r="AB14" s="6" t="s">
        <v>89</v>
      </c>
      <c r="AC14" s="6" t="s">
        <v>91</v>
      </c>
      <c r="AD14" s="6" t="s">
        <v>92</v>
      </c>
      <c r="AE14" s="6" t="s">
        <v>45</v>
      </c>
      <c r="AF14" s="6" t="s">
        <v>354</v>
      </c>
      <c r="AG14" s="6" t="s">
        <v>355</v>
      </c>
      <c r="AH14" s="6" t="s">
        <v>96</v>
      </c>
      <c r="AI14" s="6" t="s">
        <v>97</v>
      </c>
      <c r="AJ14" s="6" t="s">
        <v>356</v>
      </c>
      <c r="AK14" s="7">
        <v>3</v>
      </c>
      <c r="AL14" s="6" t="s">
        <v>99</v>
      </c>
      <c r="AM14" s="6" t="s">
        <v>45</v>
      </c>
    </row>
    <row r="15" spans="1:39" x14ac:dyDescent="0.25">
      <c r="A15" s="6" t="s">
        <v>357</v>
      </c>
      <c r="B15" s="6" t="s">
        <v>358</v>
      </c>
      <c r="C15" s="6" t="s">
        <v>132</v>
      </c>
      <c r="D15" s="6" t="s">
        <v>359</v>
      </c>
      <c r="E15" s="6" t="s">
        <v>360</v>
      </c>
      <c r="F15" s="6" t="s">
        <v>361</v>
      </c>
      <c r="G15" s="6" t="s">
        <v>45</v>
      </c>
      <c r="H15" s="6" t="s">
        <v>362</v>
      </c>
      <c r="I15" s="6" t="s">
        <v>363</v>
      </c>
      <c r="J15" s="6" t="s">
        <v>364</v>
      </c>
      <c r="K15" s="6" t="s">
        <v>365</v>
      </c>
      <c r="L15" s="6" t="s">
        <v>49</v>
      </c>
      <c r="M15" s="6" t="s">
        <v>80</v>
      </c>
      <c r="N15" s="6" t="s">
        <v>51</v>
      </c>
      <c r="O15" s="6" t="s">
        <v>52</v>
      </c>
      <c r="P15" s="6" t="s">
        <v>53</v>
      </c>
      <c r="Q15" s="6" t="s">
        <v>366</v>
      </c>
      <c r="R15" s="6" t="s">
        <v>55</v>
      </c>
      <c r="S15" s="6" t="s">
        <v>367</v>
      </c>
      <c r="T15" s="6" t="s">
        <v>368</v>
      </c>
      <c r="U15" s="6" t="s">
        <v>369</v>
      </c>
      <c r="V15" s="6" t="s">
        <v>370</v>
      </c>
      <c r="W15" s="6" t="s">
        <v>371</v>
      </c>
      <c r="X15" s="6" t="s">
        <v>372</v>
      </c>
      <c r="Y15" s="6" t="s">
        <v>45</v>
      </c>
      <c r="Z15" s="6" t="s">
        <v>373</v>
      </c>
      <c r="AA15" s="6" t="s">
        <v>244</v>
      </c>
      <c r="AB15" s="6" t="s">
        <v>61</v>
      </c>
      <c r="AC15" s="6" t="s">
        <v>374</v>
      </c>
      <c r="AD15" s="6" t="s">
        <v>375</v>
      </c>
      <c r="AE15" s="6" t="s">
        <v>376</v>
      </c>
      <c r="AF15" s="6" t="s">
        <v>377</v>
      </c>
      <c r="AG15" s="6" t="s">
        <v>378</v>
      </c>
      <c r="AH15" s="6" t="s">
        <v>154</v>
      </c>
      <c r="AI15" s="6" t="s">
        <v>155</v>
      </c>
      <c r="AJ15" s="6" t="s">
        <v>379</v>
      </c>
      <c r="AK15" s="7">
        <v>3</v>
      </c>
      <c r="AL15" s="6" t="s">
        <v>380</v>
      </c>
      <c r="AM15" s="6" t="s">
        <v>381</v>
      </c>
    </row>
    <row r="16" spans="1:39" x14ac:dyDescent="0.25">
      <c r="A16" s="6" t="s">
        <v>382</v>
      </c>
      <c r="B16" s="6" t="s">
        <v>383</v>
      </c>
      <c r="C16" s="6" t="s">
        <v>102</v>
      </c>
      <c r="D16" s="6" t="s">
        <v>384</v>
      </c>
      <c r="E16" s="6" t="s">
        <v>385</v>
      </c>
      <c r="F16" s="6" t="s">
        <v>386</v>
      </c>
      <c r="G16" s="6" t="s">
        <v>45</v>
      </c>
      <c r="H16" s="6" t="s">
        <v>387</v>
      </c>
      <c r="I16" s="6" t="s">
        <v>388</v>
      </c>
      <c r="J16" s="6" t="s">
        <v>389</v>
      </c>
      <c r="K16" s="6" t="s">
        <v>390</v>
      </c>
      <c r="L16" s="6" t="s">
        <v>110</v>
      </c>
      <c r="M16" s="6" t="s">
        <v>80</v>
      </c>
      <c r="N16" s="6" t="s">
        <v>140</v>
      </c>
      <c r="O16" s="6" t="s">
        <v>141</v>
      </c>
      <c r="P16" s="6" t="s">
        <v>140</v>
      </c>
      <c r="Q16" s="6" t="s">
        <v>142</v>
      </c>
      <c r="R16" s="6" t="s">
        <v>264</v>
      </c>
      <c r="S16" s="6" t="s">
        <v>144</v>
      </c>
      <c r="T16" s="6" t="s">
        <v>391</v>
      </c>
      <c r="U16" s="6" t="s">
        <v>392</v>
      </c>
      <c r="V16" s="6" t="s">
        <v>393</v>
      </c>
      <c r="W16" s="6" t="s">
        <v>45</v>
      </c>
      <c r="X16" s="6" t="s">
        <v>45</v>
      </c>
      <c r="Y16" s="6" t="s">
        <v>45</v>
      </c>
      <c r="Z16" s="6" t="s">
        <v>394</v>
      </c>
      <c r="AA16" s="6" t="s">
        <v>89</v>
      </c>
      <c r="AB16" s="6" t="s">
        <v>120</v>
      </c>
      <c r="AC16" s="6" t="s">
        <v>149</v>
      </c>
      <c r="AD16" s="6" t="s">
        <v>150</v>
      </c>
      <c r="AE16" s="6" t="s">
        <v>395</v>
      </c>
      <c r="AF16" s="6" t="s">
        <v>396</v>
      </c>
      <c r="AG16" s="6" t="s">
        <v>397</v>
      </c>
      <c r="AH16" s="6" t="s">
        <v>154</v>
      </c>
      <c r="AI16" s="6" t="s">
        <v>155</v>
      </c>
      <c r="AJ16" s="6" t="s">
        <v>398</v>
      </c>
      <c r="AK16" s="7">
        <v>4</v>
      </c>
      <c r="AL16" s="6" t="s">
        <v>399</v>
      </c>
      <c r="AM16" s="6" t="s">
        <v>400</v>
      </c>
    </row>
    <row r="17" spans="1:39" x14ac:dyDescent="0.25">
      <c r="A17" s="6" t="s">
        <v>401</v>
      </c>
      <c r="B17" s="6" t="s">
        <v>402</v>
      </c>
      <c r="C17" s="6" t="s">
        <v>41</v>
      </c>
      <c r="D17" s="6" t="s">
        <v>403</v>
      </c>
      <c r="E17" s="6" t="s">
        <v>404</v>
      </c>
      <c r="F17" s="6" t="s">
        <v>405</v>
      </c>
      <c r="G17" s="6" t="s">
        <v>45</v>
      </c>
      <c r="H17" s="6" t="s">
        <v>406</v>
      </c>
      <c r="I17" s="6" t="s">
        <v>407</v>
      </c>
      <c r="J17" s="6" t="s">
        <v>108</v>
      </c>
      <c r="K17" s="6" t="s">
        <v>408</v>
      </c>
      <c r="L17" s="6" t="s">
        <v>49</v>
      </c>
      <c r="M17" s="6" t="s">
        <v>80</v>
      </c>
      <c r="N17" s="6" t="s">
        <v>111</v>
      </c>
      <c r="O17" s="6" t="s">
        <v>52</v>
      </c>
      <c r="P17" s="6" t="s">
        <v>111</v>
      </c>
      <c r="Q17" s="6" t="s">
        <v>112</v>
      </c>
      <c r="R17" s="6" t="s">
        <v>113</v>
      </c>
      <c r="S17" s="6" t="s">
        <v>409</v>
      </c>
      <c r="T17" s="6" t="s">
        <v>410</v>
      </c>
      <c r="U17" s="6" t="s">
        <v>411</v>
      </c>
      <c r="V17" s="6" t="s">
        <v>412</v>
      </c>
      <c r="W17" s="6" t="s">
        <v>45</v>
      </c>
      <c r="X17" s="6" t="s">
        <v>45</v>
      </c>
      <c r="Y17" s="6" t="s">
        <v>45</v>
      </c>
      <c r="Z17" s="6" t="s">
        <v>413</v>
      </c>
      <c r="AA17" s="6" t="s">
        <v>62</v>
      </c>
      <c r="AB17" s="6" t="s">
        <v>90</v>
      </c>
      <c r="AC17" s="6" t="s">
        <v>414</v>
      </c>
      <c r="AD17" s="6" t="s">
        <v>415</v>
      </c>
      <c r="AE17" s="6" t="s">
        <v>416</v>
      </c>
      <c r="AF17" s="6" t="s">
        <v>417</v>
      </c>
      <c r="AG17" s="6" t="s">
        <v>418</v>
      </c>
      <c r="AH17" s="6" t="s">
        <v>67</v>
      </c>
      <c r="AI17" s="6" t="s">
        <v>68</v>
      </c>
      <c r="AJ17" s="6" t="s">
        <v>419</v>
      </c>
      <c r="AK17" s="7">
        <v>3</v>
      </c>
      <c r="AL17" s="6" t="s">
        <v>420</v>
      </c>
      <c r="AM17" s="6" t="s">
        <v>45</v>
      </c>
    </row>
    <row r="18" spans="1:39" x14ac:dyDescent="0.25">
      <c r="A18" s="6" t="s">
        <v>421</v>
      </c>
      <c r="B18" s="6" t="s">
        <v>422</v>
      </c>
      <c r="C18" s="6" t="s">
        <v>102</v>
      </c>
      <c r="D18" s="6" t="s">
        <v>423</v>
      </c>
      <c r="E18" s="6" t="s">
        <v>424</v>
      </c>
      <c r="F18" s="6" t="s">
        <v>425</v>
      </c>
      <c r="G18" s="6" t="s">
        <v>426</v>
      </c>
      <c r="H18" s="6" t="s">
        <v>427</v>
      </c>
      <c r="I18" s="6" t="s">
        <v>428</v>
      </c>
      <c r="J18" s="6" t="s">
        <v>47</v>
      </c>
      <c r="K18" s="6" t="s">
        <v>429</v>
      </c>
      <c r="L18" s="6" t="s">
        <v>49</v>
      </c>
      <c r="M18" s="6" t="s">
        <v>80</v>
      </c>
      <c r="N18" s="6" t="s">
        <v>51</v>
      </c>
      <c r="O18" s="6" t="s">
        <v>52</v>
      </c>
      <c r="P18" s="6" t="s">
        <v>53</v>
      </c>
      <c r="Q18" s="6" t="s">
        <v>54</v>
      </c>
      <c r="R18" s="6" t="s">
        <v>55</v>
      </c>
      <c r="S18" s="6" t="s">
        <v>430</v>
      </c>
      <c r="T18" s="6" t="s">
        <v>431</v>
      </c>
      <c r="U18" s="6" t="s">
        <v>432</v>
      </c>
      <c r="V18" s="6" t="s">
        <v>433</v>
      </c>
      <c r="W18" s="6" t="s">
        <v>434</v>
      </c>
      <c r="X18" s="6" t="s">
        <v>435</v>
      </c>
      <c r="Y18" s="6" t="s">
        <v>175</v>
      </c>
      <c r="Z18" s="6" t="s">
        <v>436</v>
      </c>
      <c r="AA18" s="6" t="s">
        <v>90</v>
      </c>
      <c r="AB18" s="6" t="s">
        <v>120</v>
      </c>
      <c r="AC18" s="6" t="s">
        <v>63</v>
      </c>
      <c r="AD18" s="6" t="s">
        <v>64</v>
      </c>
      <c r="AE18" s="6" t="s">
        <v>437</v>
      </c>
      <c r="AF18" s="6" t="s">
        <v>438</v>
      </c>
      <c r="AG18" s="6" t="s">
        <v>439</v>
      </c>
      <c r="AH18" s="6" t="s">
        <v>67</v>
      </c>
      <c r="AI18" s="6" t="s">
        <v>68</v>
      </c>
      <c r="AJ18" s="6" t="s">
        <v>440</v>
      </c>
      <c r="AK18" s="7">
        <v>5</v>
      </c>
      <c r="AL18" s="6" t="s">
        <v>441</v>
      </c>
      <c r="AM18" s="6" t="s">
        <v>442</v>
      </c>
    </row>
    <row r="19" spans="1:39" x14ac:dyDescent="0.25">
      <c r="A19" s="6" t="s">
        <v>443</v>
      </c>
      <c r="B19" s="6" t="s">
        <v>444</v>
      </c>
      <c r="C19" s="6" t="s">
        <v>41</v>
      </c>
      <c r="D19" s="6" t="s">
        <v>445</v>
      </c>
      <c r="E19" s="6" t="s">
        <v>446</v>
      </c>
      <c r="F19" s="6" t="s">
        <v>447</v>
      </c>
      <c r="G19" s="6" t="s">
        <v>45</v>
      </c>
      <c r="H19" s="6" t="s">
        <v>448</v>
      </c>
      <c r="I19" s="6" t="s">
        <v>45</v>
      </c>
      <c r="J19" s="6" t="s">
        <v>45</v>
      </c>
      <c r="K19" s="6" t="s">
        <v>449</v>
      </c>
      <c r="L19" s="6" t="s">
        <v>45</v>
      </c>
      <c r="M19" s="6" t="s">
        <v>45</v>
      </c>
      <c r="N19" s="6" t="s">
        <v>45</v>
      </c>
      <c r="O19" s="6" t="s">
        <v>45</v>
      </c>
      <c r="P19" s="6" t="s">
        <v>45</v>
      </c>
      <c r="Q19" s="6" t="s">
        <v>168</v>
      </c>
      <c r="R19" s="6" t="s">
        <v>55</v>
      </c>
      <c r="S19" s="6" t="s">
        <v>430</v>
      </c>
      <c r="T19" s="6" t="s">
        <v>450</v>
      </c>
      <c r="U19" s="6" t="s">
        <v>451</v>
      </c>
      <c r="V19" s="6" t="s">
        <v>452</v>
      </c>
      <c r="W19" s="6" t="s">
        <v>45</v>
      </c>
      <c r="X19" s="6" t="s">
        <v>45</v>
      </c>
      <c r="Y19" s="6" t="s">
        <v>45</v>
      </c>
      <c r="Z19" s="6" t="s">
        <v>45</v>
      </c>
      <c r="AA19" s="6" t="s">
        <v>45</v>
      </c>
      <c r="AB19" s="6" t="s">
        <v>45</v>
      </c>
      <c r="AC19" s="6" t="s">
        <v>45</v>
      </c>
      <c r="AD19" s="6" t="s">
        <v>45</v>
      </c>
      <c r="AE19" s="6" t="s">
        <v>45</v>
      </c>
      <c r="AF19" s="6" t="s">
        <v>45</v>
      </c>
      <c r="AG19" s="6" t="s">
        <v>45</v>
      </c>
      <c r="AH19" s="6" t="s">
        <v>67</v>
      </c>
      <c r="AI19" s="6" t="s">
        <v>68</v>
      </c>
      <c r="AJ19" s="6" t="s">
        <v>453</v>
      </c>
      <c r="AK19" s="7">
        <v>4</v>
      </c>
      <c r="AL19" s="6" t="s">
        <v>184</v>
      </c>
      <c r="AM19" s="6" t="s">
        <v>45</v>
      </c>
    </row>
    <row r="20" spans="1:39" x14ac:dyDescent="0.25">
      <c r="A20" s="6" t="s">
        <v>454</v>
      </c>
      <c r="B20" s="6" t="s">
        <v>455</v>
      </c>
      <c r="C20" s="6" t="s">
        <v>41</v>
      </c>
      <c r="D20" s="6" t="s">
        <v>456</v>
      </c>
      <c r="E20" s="6" t="s">
        <v>457</v>
      </c>
      <c r="F20" s="6" t="s">
        <v>458</v>
      </c>
      <c r="G20" s="6" t="s">
        <v>45</v>
      </c>
      <c r="H20" s="6" t="s">
        <v>459</v>
      </c>
      <c r="I20" s="6" t="s">
        <v>45</v>
      </c>
      <c r="J20" s="6" t="s">
        <v>45</v>
      </c>
      <c r="K20" s="6" t="s">
        <v>460</v>
      </c>
      <c r="L20" s="6" t="s">
        <v>45</v>
      </c>
      <c r="M20" s="6" t="s">
        <v>45</v>
      </c>
      <c r="N20" s="6" t="s">
        <v>45</v>
      </c>
      <c r="O20" s="6" t="s">
        <v>45</v>
      </c>
      <c r="P20" s="6" t="s">
        <v>45</v>
      </c>
      <c r="Q20" s="6" t="s">
        <v>112</v>
      </c>
      <c r="R20" s="6" t="s">
        <v>113</v>
      </c>
      <c r="S20" s="6" t="s">
        <v>286</v>
      </c>
      <c r="T20" s="6" t="s">
        <v>461</v>
      </c>
      <c r="U20" s="6" t="s">
        <v>462</v>
      </c>
      <c r="V20" s="6" t="s">
        <v>463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6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6" t="s">
        <v>45</v>
      </c>
      <c r="AH20" s="6" t="s">
        <v>464</v>
      </c>
      <c r="AI20" s="6" t="s">
        <v>182</v>
      </c>
      <c r="AJ20" s="6" t="s">
        <v>465</v>
      </c>
      <c r="AK20" s="7">
        <v>3</v>
      </c>
      <c r="AL20" s="6" t="s">
        <v>466</v>
      </c>
      <c r="AM20" s="6" t="s">
        <v>45</v>
      </c>
    </row>
    <row r="21" spans="1:39" x14ac:dyDescent="0.25">
      <c r="A21" s="6" t="s">
        <v>467</v>
      </c>
      <c r="B21" s="6" t="s">
        <v>468</v>
      </c>
      <c r="C21" s="6" t="s">
        <v>41</v>
      </c>
      <c r="D21" s="6" t="s">
        <v>469</v>
      </c>
      <c r="E21" s="6" t="s">
        <v>470</v>
      </c>
      <c r="F21" s="6" t="s">
        <v>471</v>
      </c>
      <c r="G21" s="6" t="s">
        <v>45</v>
      </c>
      <c r="H21" s="6" t="s">
        <v>472</v>
      </c>
      <c r="I21" s="6" t="s">
        <v>45</v>
      </c>
      <c r="J21" s="6" t="s">
        <v>45</v>
      </c>
      <c r="K21" s="6" t="s">
        <v>473</v>
      </c>
      <c r="L21" s="6" t="s">
        <v>45</v>
      </c>
      <c r="M21" s="6" t="s">
        <v>45</v>
      </c>
      <c r="N21" s="6" t="s">
        <v>45</v>
      </c>
      <c r="O21" s="6" t="s">
        <v>45</v>
      </c>
      <c r="P21" s="6" t="s">
        <v>45</v>
      </c>
      <c r="Q21" s="6" t="s">
        <v>474</v>
      </c>
      <c r="R21" s="6" t="s">
        <v>264</v>
      </c>
      <c r="S21" s="6" t="s">
        <v>265</v>
      </c>
      <c r="T21" s="6" t="s">
        <v>287</v>
      </c>
      <c r="U21" s="6" t="s">
        <v>475</v>
      </c>
      <c r="V21" s="6" t="s">
        <v>289</v>
      </c>
      <c r="W21" s="6" t="s">
        <v>45</v>
      </c>
      <c r="X21" s="6" t="s">
        <v>45</v>
      </c>
      <c r="Y21" s="6" t="s">
        <v>45</v>
      </c>
      <c r="Z21" s="6" t="s">
        <v>45</v>
      </c>
      <c r="AA21" s="6" t="s">
        <v>45</v>
      </c>
      <c r="AB21" s="6" t="s">
        <v>45</v>
      </c>
      <c r="AC21" s="6" t="s">
        <v>45</v>
      </c>
      <c r="AD21" s="6" t="s">
        <v>45</v>
      </c>
      <c r="AE21" s="6" t="s">
        <v>45</v>
      </c>
      <c r="AF21" s="6" t="s">
        <v>45</v>
      </c>
      <c r="AG21" s="6" t="s">
        <v>45</v>
      </c>
      <c r="AH21" s="6" t="s">
        <v>250</v>
      </c>
      <c r="AI21" s="6" t="s">
        <v>251</v>
      </c>
      <c r="AJ21" s="6" t="s">
        <v>476</v>
      </c>
      <c r="AK21" s="7">
        <v>4</v>
      </c>
      <c r="AL21" s="6" t="s">
        <v>477</v>
      </c>
      <c r="AM21" s="6" t="s">
        <v>45</v>
      </c>
    </row>
    <row r="22" spans="1:39" x14ac:dyDescent="0.25">
      <c r="A22" s="6" t="s">
        <v>478</v>
      </c>
      <c r="B22" s="6" t="s">
        <v>479</v>
      </c>
      <c r="C22" s="6" t="s">
        <v>41</v>
      </c>
      <c r="D22" s="6" t="s">
        <v>480</v>
      </c>
      <c r="E22" s="6" t="s">
        <v>481</v>
      </c>
      <c r="F22" s="6" t="s">
        <v>482</v>
      </c>
      <c r="G22" s="6" t="s">
        <v>45</v>
      </c>
      <c r="H22" s="6" t="s">
        <v>483</v>
      </c>
      <c r="I22" s="6" t="s">
        <v>45</v>
      </c>
      <c r="J22" s="6" t="s">
        <v>45</v>
      </c>
      <c r="K22" s="6" t="s">
        <v>484</v>
      </c>
      <c r="L22" s="6" t="s">
        <v>45</v>
      </c>
      <c r="M22" s="6" t="s">
        <v>45</v>
      </c>
      <c r="N22" s="6" t="s">
        <v>45</v>
      </c>
      <c r="O22" s="6" t="s">
        <v>45</v>
      </c>
      <c r="P22" s="6" t="s">
        <v>45</v>
      </c>
      <c r="Q22" s="6" t="s">
        <v>485</v>
      </c>
      <c r="R22" s="6" t="s">
        <v>55</v>
      </c>
      <c r="S22" s="6" t="s">
        <v>310</v>
      </c>
      <c r="T22" s="6" t="s">
        <v>486</v>
      </c>
      <c r="U22" s="6" t="s">
        <v>487</v>
      </c>
      <c r="V22" s="6" t="s">
        <v>488</v>
      </c>
      <c r="W22" s="6" t="s">
        <v>45</v>
      </c>
      <c r="X22" s="6" t="s">
        <v>45</v>
      </c>
      <c r="Y22" s="6" t="s">
        <v>45</v>
      </c>
      <c r="Z22" s="6" t="s">
        <v>45</v>
      </c>
      <c r="AA22" s="6" t="s">
        <v>45</v>
      </c>
      <c r="AB22" s="6" t="s">
        <v>45</v>
      </c>
      <c r="AC22" s="6" t="s">
        <v>45</v>
      </c>
      <c r="AD22" s="6" t="s">
        <v>45</v>
      </c>
      <c r="AE22" s="6" t="s">
        <v>45</v>
      </c>
      <c r="AF22" s="6" t="s">
        <v>45</v>
      </c>
      <c r="AG22" s="6" t="s">
        <v>45</v>
      </c>
      <c r="AH22" s="6" t="s">
        <v>489</v>
      </c>
      <c r="AI22" s="6" t="s">
        <v>490</v>
      </c>
      <c r="AJ22" s="6" t="s">
        <v>491</v>
      </c>
      <c r="AK22" s="7">
        <v>3</v>
      </c>
      <c r="AL22" s="6" t="s">
        <v>492</v>
      </c>
      <c r="AM22" s="6" t="s">
        <v>493</v>
      </c>
    </row>
    <row r="23" spans="1:39" x14ac:dyDescent="0.25">
      <c r="A23" s="6" t="s">
        <v>494</v>
      </c>
      <c r="B23" s="6" t="s">
        <v>495</v>
      </c>
      <c r="C23" s="6" t="s">
        <v>41</v>
      </c>
      <c r="D23" s="6" t="s">
        <v>496</v>
      </c>
      <c r="E23" s="6" t="s">
        <v>497</v>
      </c>
      <c r="F23" s="6" t="s">
        <v>498</v>
      </c>
      <c r="G23" s="6" t="s">
        <v>45</v>
      </c>
      <c r="H23" s="6" t="s">
        <v>499</v>
      </c>
      <c r="I23" s="6" t="s">
        <v>45</v>
      </c>
      <c r="J23" s="6" t="s">
        <v>45</v>
      </c>
      <c r="K23" s="6" t="s">
        <v>500</v>
      </c>
      <c r="L23" s="6" t="s">
        <v>45</v>
      </c>
      <c r="M23" s="6" t="s">
        <v>45</v>
      </c>
      <c r="N23" s="6" t="s">
        <v>45</v>
      </c>
      <c r="O23" s="6" t="s">
        <v>45</v>
      </c>
      <c r="P23" s="6" t="s">
        <v>45</v>
      </c>
      <c r="Q23" s="6" t="s">
        <v>501</v>
      </c>
      <c r="R23" s="6" t="s">
        <v>237</v>
      </c>
      <c r="S23" s="6" t="s">
        <v>237</v>
      </c>
      <c r="T23" s="6" t="s">
        <v>85</v>
      </c>
      <c r="U23" s="6" t="s">
        <v>502</v>
      </c>
      <c r="V23" s="6" t="s">
        <v>503</v>
      </c>
      <c r="W23" s="6" t="s">
        <v>45</v>
      </c>
      <c r="X23" s="6" t="s">
        <v>45</v>
      </c>
      <c r="Y23" s="6" t="s">
        <v>45</v>
      </c>
      <c r="Z23" s="6" t="s">
        <v>45</v>
      </c>
      <c r="AA23" s="6" t="s">
        <v>45</v>
      </c>
      <c r="AB23" s="6" t="s">
        <v>45</v>
      </c>
      <c r="AC23" s="6" t="s">
        <v>45</v>
      </c>
      <c r="AD23" s="6" t="s">
        <v>45</v>
      </c>
      <c r="AE23" s="6" t="s">
        <v>45</v>
      </c>
      <c r="AF23" s="6" t="s">
        <v>45</v>
      </c>
      <c r="AG23" s="6" t="s">
        <v>45</v>
      </c>
      <c r="AH23" s="6" t="s">
        <v>96</v>
      </c>
      <c r="AI23" s="6" t="s">
        <v>97</v>
      </c>
      <c r="AJ23" s="6" t="s">
        <v>504</v>
      </c>
      <c r="AK23" s="7">
        <v>3</v>
      </c>
      <c r="AL23" s="6" t="s">
        <v>99</v>
      </c>
      <c r="AM23" s="6" t="s">
        <v>505</v>
      </c>
    </row>
    <row r="24" spans="1:39" x14ac:dyDescent="0.25">
      <c r="A24" s="6" t="s">
        <v>506</v>
      </c>
      <c r="B24" s="6" t="s">
        <v>507</v>
      </c>
      <c r="C24" s="6" t="s">
        <v>102</v>
      </c>
      <c r="D24" s="6" t="s">
        <v>508</v>
      </c>
      <c r="E24" s="6" t="s">
        <v>509</v>
      </c>
      <c r="F24" s="6" t="s">
        <v>510</v>
      </c>
      <c r="G24" s="6" t="s">
        <v>45</v>
      </c>
      <c r="H24" s="6" t="s">
        <v>511</v>
      </c>
      <c r="I24" s="6" t="s">
        <v>45</v>
      </c>
      <c r="J24" s="6" t="s">
        <v>45</v>
      </c>
      <c r="K24" s="6" t="s">
        <v>512</v>
      </c>
      <c r="L24" s="6" t="s">
        <v>45</v>
      </c>
      <c r="M24" s="6" t="s">
        <v>45</v>
      </c>
      <c r="N24" s="6" t="s">
        <v>45</v>
      </c>
      <c r="O24" s="6" t="s">
        <v>45</v>
      </c>
      <c r="P24" s="6" t="s">
        <v>45</v>
      </c>
      <c r="Q24" s="6" t="s">
        <v>513</v>
      </c>
      <c r="R24" s="6" t="s">
        <v>143</v>
      </c>
      <c r="S24" s="6" t="s">
        <v>265</v>
      </c>
      <c r="T24" s="6" t="s">
        <v>514</v>
      </c>
      <c r="U24" s="6" t="s">
        <v>515</v>
      </c>
      <c r="V24" s="6" t="s">
        <v>516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6" t="s">
        <v>45</v>
      </c>
      <c r="AC24" s="6" t="s">
        <v>45</v>
      </c>
      <c r="AD24" s="6" t="s">
        <v>45</v>
      </c>
      <c r="AE24" s="6" t="s">
        <v>45</v>
      </c>
      <c r="AF24" s="6" t="s">
        <v>45</v>
      </c>
      <c r="AG24" s="6" t="s">
        <v>45</v>
      </c>
      <c r="AH24" s="6" t="s">
        <v>517</v>
      </c>
      <c r="AI24" s="6" t="s">
        <v>518</v>
      </c>
      <c r="AJ24" s="6" t="s">
        <v>519</v>
      </c>
      <c r="AK24" s="7">
        <v>4</v>
      </c>
      <c r="AL24" s="6" t="s">
        <v>520</v>
      </c>
      <c r="AM24" s="6" t="s">
        <v>521</v>
      </c>
    </row>
    <row r="25" spans="1:39" x14ac:dyDescent="0.25">
      <c r="A25" s="6" t="s">
        <v>522</v>
      </c>
      <c r="B25" s="6" t="s">
        <v>523</v>
      </c>
      <c r="C25" s="6" t="s">
        <v>132</v>
      </c>
      <c r="D25" s="6" t="s">
        <v>524</v>
      </c>
      <c r="E25" s="6" t="s">
        <v>525</v>
      </c>
      <c r="F25" s="6" t="s">
        <v>526</v>
      </c>
      <c r="G25" s="6" t="s">
        <v>45</v>
      </c>
      <c r="H25" s="6" t="s">
        <v>527</v>
      </c>
      <c r="I25" s="6" t="s">
        <v>45</v>
      </c>
      <c r="J25" s="6" t="s">
        <v>45</v>
      </c>
      <c r="K25" s="6" t="s">
        <v>528</v>
      </c>
      <c r="L25" s="6" t="s">
        <v>45</v>
      </c>
      <c r="M25" s="6" t="s">
        <v>45</v>
      </c>
      <c r="N25" s="6" t="s">
        <v>45</v>
      </c>
      <c r="O25" s="6" t="s">
        <v>45</v>
      </c>
      <c r="P25" s="6" t="s">
        <v>45</v>
      </c>
      <c r="Q25" s="6" t="s">
        <v>529</v>
      </c>
      <c r="R25" s="6" t="s">
        <v>55</v>
      </c>
      <c r="S25" s="6" t="s">
        <v>430</v>
      </c>
      <c r="T25" s="6" t="s">
        <v>530</v>
      </c>
      <c r="U25" s="6" t="s">
        <v>531</v>
      </c>
      <c r="V25" s="6" t="s">
        <v>532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6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6" t="s">
        <v>45</v>
      </c>
      <c r="AH25" s="6" t="s">
        <v>250</v>
      </c>
      <c r="AI25" s="6" t="s">
        <v>251</v>
      </c>
      <c r="AJ25" s="6" t="s">
        <v>533</v>
      </c>
      <c r="AK25" s="7">
        <v>2</v>
      </c>
      <c r="AL25" s="6" t="s">
        <v>534</v>
      </c>
      <c r="AM25" s="6" t="s">
        <v>535</v>
      </c>
    </row>
  </sheetData>
  <autoFilter ref="A1:AM25" xr:uid="{3C5E8C32-6D51-4684-B1DD-0A944070895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4FAF-BF93-44E1-8524-B6D4B9F3BA9D}">
  <dimension ref="A1:H15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14.7265625" style="2" bestFit="1" customWidth="1"/>
    <col min="2" max="2" width="16.1796875" style="2" bestFit="1" customWidth="1"/>
    <col min="3" max="3" width="8.54296875" style="2" bestFit="1" customWidth="1"/>
    <col min="4" max="4" width="21.7265625" style="2" bestFit="1" customWidth="1"/>
    <col min="5" max="5" width="17" style="2" bestFit="1" customWidth="1"/>
    <col min="6" max="6" width="10.453125" style="2" bestFit="1" customWidth="1"/>
    <col min="7" max="7" width="10.08984375" style="2" bestFit="1" customWidth="1"/>
    <col min="8" max="8" width="9.90625" style="2" bestFit="1" customWidth="1"/>
    <col min="9" max="16384" width="8.7265625" style="1"/>
  </cols>
  <sheetData>
    <row r="1" spans="1:8" ht="28" customHeight="1" x14ac:dyDescent="0.3">
      <c r="A1" s="4" t="s">
        <v>0</v>
      </c>
      <c r="B1" s="4" t="s">
        <v>4</v>
      </c>
      <c r="C1" s="4" t="s">
        <v>536</v>
      </c>
      <c r="D1" s="4" t="s">
        <v>537</v>
      </c>
      <c r="E1" s="4" t="s">
        <v>7</v>
      </c>
      <c r="F1" s="4" t="s">
        <v>9</v>
      </c>
      <c r="G1" s="4" t="s">
        <v>10</v>
      </c>
      <c r="H1" s="4" t="s">
        <v>11</v>
      </c>
    </row>
    <row r="2" spans="1:8" x14ac:dyDescent="0.25">
      <c r="A2" s="6" t="s">
        <v>100</v>
      </c>
      <c r="B2" s="6" t="s">
        <v>104</v>
      </c>
      <c r="C2" s="6" t="s">
        <v>538</v>
      </c>
      <c r="D2" s="6" t="s">
        <v>539</v>
      </c>
      <c r="E2" s="6" t="s">
        <v>540</v>
      </c>
      <c r="F2" s="6" t="s">
        <v>108</v>
      </c>
      <c r="G2" s="6" t="s">
        <v>541</v>
      </c>
      <c r="H2" s="6" t="s">
        <v>49</v>
      </c>
    </row>
    <row r="3" spans="1:8" x14ac:dyDescent="0.25">
      <c r="A3" s="6" t="s">
        <v>100</v>
      </c>
      <c r="B3" s="6" t="s">
        <v>104</v>
      </c>
      <c r="C3" s="6" t="s">
        <v>542</v>
      </c>
      <c r="D3" s="6" t="s">
        <v>543</v>
      </c>
      <c r="E3" s="6" t="s">
        <v>544</v>
      </c>
      <c r="F3" s="6" t="s">
        <v>108</v>
      </c>
      <c r="G3" s="6" t="s">
        <v>545</v>
      </c>
      <c r="H3" s="6" t="s">
        <v>110</v>
      </c>
    </row>
    <row r="4" spans="1:8" x14ac:dyDescent="0.25">
      <c r="A4" s="6" t="s">
        <v>227</v>
      </c>
      <c r="B4" s="6" t="s">
        <v>230</v>
      </c>
      <c r="C4" s="6" t="s">
        <v>546</v>
      </c>
      <c r="D4" s="6" t="s">
        <v>547</v>
      </c>
      <c r="E4" s="6" t="s">
        <v>548</v>
      </c>
      <c r="F4" s="6" t="s">
        <v>234</v>
      </c>
      <c r="G4" s="6" t="s">
        <v>549</v>
      </c>
      <c r="H4" s="6" t="s">
        <v>110</v>
      </c>
    </row>
    <row r="5" spans="1:8" x14ac:dyDescent="0.25">
      <c r="A5" s="6" t="s">
        <v>227</v>
      </c>
      <c r="B5" s="6" t="s">
        <v>230</v>
      </c>
      <c r="C5" s="6" t="s">
        <v>542</v>
      </c>
      <c r="D5" s="6" t="s">
        <v>550</v>
      </c>
      <c r="E5" s="6" t="s">
        <v>551</v>
      </c>
      <c r="F5" s="6" t="s">
        <v>234</v>
      </c>
      <c r="G5" s="6" t="s">
        <v>552</v>
      </c>
      <c r="H5" s="6" t="s">
        <v>49</v>
      </c>
    </row>
    <row r="6" spans="1:8" x14ac:dyDescent="0.25">
      <c r="A6" s="6" t="s">
        <v>227</v>
      </c>
      <c r="B6" s="6" t="s">
        <v>230</v>
      </c>
      <c r="C6" s="6" t="s">
        <v>542</v>
      </c>
      <c r="D6" s="6" t="s">
        <v>553</v>
      </c>
      <c r="E6" s="6" t="s">
        <v>554</v>
      </c>
      <c r="F6" s="6" t="s">
        <v>234</v>
      </c>
      <c r="G6" s="6" t="s">
        <v>555</v>
      </c>
      <c r="H6" s="6" t="s">
        <v>110</v>
      </c>
    </row>
    <row r="7" spans="1:8" x14ac:dyDescent="0.25">
      <c r="A7" s="6" t="s">
        <v>275</v>
      </c>
      <c r="B7" s="6" t="s">
        <v>278</v>
      </c>
      <c r="C7" s="6" t="s">
        <v>546</v>
      </c>
      <c r="D7" s="6" t="s">
        <v>556</v>
      </c>
      <c r="E7" s="6" t="s">
        <v>557</v>
      </c>
      <c r="F7" s="6" t="s">
        <v>234</v>
      </c>
      <c r="G7" s="6" t="s">
        <v>558</v>
      </c>
      <c r="H7" s="6" t="s">
        <v>110</v>
      </c>
    </row>
    <row r="8" spans="1:8" x14ac:dyDescent="0.25">
      <c r="A8" s="6" t="s">
        <v>275</v>
      </c>
      <c r="B8" s="6" t="s">
        <v>278</v>
      </c>
      <c r="C8" s="6" t="s">
        <v>542</v>
      </c>
      <c r="D8" s="6" t="s">
        <v>559</v>
      </c>
      <c r="E8" s="6" t="s">
        <v>560</v>
      </c>
      <c r="F8" s="6" t="s">
        <v>234</v>
      </c>
      <c r="G8" s="6" t="s">
        <v>561</v>
      </c>
      <c r="H8" s="6" t="s">
        <v>49</v>
      </c>
    </row>
    <row r="9" spans="1:8" x14ac:dyDescent="0.25">
      <c r="A9" s="6" t="s">
        <v>323</v>
      </c>
      <c r="B9" s="6" t="s">
        <v>326</v>
      </c>
      <c r="C9" s="6" t="s">
        <v>546</v>
      </c>
      <c r="D9" s="6" t="s">
        <v>562</v>
      </c>
      <c r="E9" s="6" t="s">
        <v>563</v>
      </c>
      <c r="F9" s="6" t="s">
        <v>192</v>
      </c>
      <c r="G9" s="6" t="s">
        <v>564</v>
      </c>
      <c r="H9" s="6" t="s">
        <v>110</v>
      </c>
    </row>
    <row r="10" spans="1:8" x14ac:dyDescent="0.25">
      <c r="A10" s="6" t="s">
        <v>323</v>
      </c>
      <c r="B10" s="6" t="s">
        <v>326</v>
      </c>
      <c r="C10" s="6" t="s">
        <v>542</v>
      </c>
      <c r="D10" s="6" t="s">
        <v>565</v>
      </c>
      <c r="E10" s="6" t="s">
        <v>566</v>
      </c>
      <c r="F10" s="6" t="s">
        <v>78</v>
      </c>
      <c r="G10" s="6" t="s">
        <v>567</v>
      </c>
      <c r="H10" s="6" t="s">
        <v>49</v>
      </c>
    </row>
    <row r="11" spans="1:8" x14ac:dyDescent="0.25">
      <c r="A11" s="6" t="s">
        <v>382</v>
      </c>
      <c r="B11" s="6" t="s">
        <v>385</v>
      </c>
      <c r="C11" s="6" t="s">
        <v>538</v>
      </c>
      <c r="D11" s="6" t="s">
        <v>568</v>
      </c>
      <c r="E11" s="6" t="s">
        <v>569</v>
      </c>
      <c r="F11" s="6" t="s">
        <v>138</v>
      </c>
      <c r="G11" s="6" t="s">
        <v>570</v>
      </c>
      <c r="H11" s="6" t="s">
        <v>49</v>
      </c>
    </row>
    <row r="12" spans="1:8" x14ac:dyDescent="0.25">
      <c r="A12" s="6" t="s">
        <v>382</v>
      </c>
      <c r="B12" s="6" t="s">
        <v>385</v>
      </c>
      <c r="C12" s="6" t="s">
        <v>542</v>
      </c>
      <c r="D12" s="6" t="s">
        <v>571</v>
      </c>
      <c r="E12" s="6" t="s">
        <v>572</v>
      </c>
      <c r="F12" s="6" t="s">
        <v>138</v>
      </c>
      <c r="G12" s="6" t="s">
        <v>573</v>
      </c>
      <c r="H12" s="6" t="s">
        <v>110</v>
      </c>
    </row>
    <row r="13" spans="1:8" x14ac:dyDescent="0.25">
      <c r="A13" s="6" t="s">
        <v>421</v>
      </c>
      <c r="B13" s="6" t="s">
        <v>424</v>
      </c>
      <c r="C13" s="6" t="s">
        <v>546</v>
      </c>
      <c r="D13" s="6" t="s">
        <v>574</v>
      </c>
      <c r="E13" s="6" t="s">
        <v>575</v>
      </c>
      <c r="F13" s="6" t="s">
        <v>47</v>
      </c>
      <c r="G13" s="6" t="s">
        <v>576</v>
      </c>
      <c r="H13" s="6" t="s">
        <v>110</v>
      </c>
    </row>
    <row r="14" spans="1:8" x14ac:dyDescent="0.25">
      <c r="A14" s="6" t="s">
        <v>421</v>
      </c>
      <c r="B14" s="6" t="s">
        <v>424</v>
      </c>
      <c r="C14" s="6" t="s">
        <v>542</v>
      </c>
      <c r="D14" s="6" t="s">
        <v>577</v>
      </c>
      <c r="E14" s="6" t="s">
        <v>578</v>
      </c>
      <c r="F14" s="6" t="s">
        <v>47</v>
      </c>
      <c r="G14" s="6" t="s">
        <v>579</v>
      </c>
      <c r="H14" s="6" t="s">
        <v>49</v>
      </c>
    </row>
    <row r="15" spans="1:8" x14ac:dyDescent="0.25">
      <c r="A15" s="6" t="s">
        <v>421</v>
      </c>
      <c r="B15" s="6" t="s">
        <v>424</v>
      </c>
      <c r="C15" s="6" t="s">
        <v>542</v>
      </c>
      <c r="D15" s="6" t="s">
        <v>580</v>
      </c>
      <c r="E15" s="6" t="s">
        <v>581</v>
      </c>
      <c r="F15" s="6" t="s">
        <v>47</v>
      </c>
      <c r="G15" s="6" t="s">
        <v>582</v>
      </c>
      <c r="H15" s="6" t="s">
        <v>110</v>
      </c>
    </row>
  </sheetData>
  <autoFilter ref="A1:H15" xr:uid="{F0884FAF-BF93-44E1-8524-B6D4B9F3BA9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58E2-A327-4987-A9E6-D9D3972C1B97}">
  <dimension ref="A1:F19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14.7265625" style="2" bestFit="1" customWidth="1"/>
    <col min="2" max="2" width="16.1796875" style="2" bestFit="1" customWidth="1"/>
    <col min="3" max="3" width="23.7265625" style="2" bestFit="1" customWidth="1"/>
    <col min="4" max="4" width="9.90625" style="2" bestFit="1" customWidth="1"/>
    <col min="5" max="5" width="16.36328125" style="2" bestFit="1" customWidth="1"/>
    <col min="6" max="6" width="9.90625" style="2" bestFit="1" customWidth="1"/>
    <col min="7" max="16384" width="8.7265625" style="1"/>
  </cols>
  <sheetData>
    <row r="1" spans="1:6" ht="28" customHeight="1" x14ac:dyDescent="0.3">
      <c r="A1" s="4" t="s">
        <v>0</v>
      </c>
      <c r="B1" s="4" t="s">
        <v>4</v>
      </c>
      <c r="C1" s="4" t="s">
        <v>583</v>
      </c>
      <c r="D1" s="4" t="s">
        <v>584</v>
      </c>
      <c r="E1" s="4" t="s">
        <v>585</v>
      </c>
      <c r="F1" s="4" t="s">
        <v>586</v>
      </c>
    </row>
    <row r="2" spans="1:6" x14ac:dyDescent="0.25">
      <c r="A2" s="6" t="s">
        <v>100</v>
      </c>
      <c r="B2" s="6" t="s">
        <v>104</v>
      </c>
      <c r="C2" s="6" t="s">
        <v>113</v>
      </c>
      <c r="D2" s="6" t="s">
        <v>115</v>
      </c>
      <c r="E2" s="6" t="s">
        <v>116</v>
      </c>
      <c r="F2" s="6" t="s">
        <v>117</v>
      </c>
    </row>
    <row r="3" spans="1:6" x14ac:dyDescent="0.25">
      <c r="A3" s="6" t="s">
        <v>100</v>
      </c>
      <c r="B3" s="6" t="s">
        <v>104</v>
      </c>
      <c r="C3" s="6" t="s">
        <v>587</v>
      </c>
      <c r="D3" s="6" t="s">
        <v>588</v>
      </c>
      <c r="E3" s="6" t="s">
        <v>589</v>
      </c>
      <c r="F3" s="6" t="s">
        <v>590</v>
      </c>
    </row>
    <row r="4" spans="1:6" x14ac:dyDescent="0.25">
      <c r="A4" s="6" t="s">
        <v>100</v>
      </c>
      <c r="B4" s="6" t="s">
        <v>104</v>
      </c>
      <c r="C4" s="6" t="s">
        <v>114</v>
      </c>
      <c r="D4" s="6" t="s">
        <v>591</v>
      </c>
      <c r="E4" s="6" t="s">
        <v>592</v>
      </c>
      <c r="F4" s="6" t="s">
        <v>593</v>
      </c>
    </row>
    <row r="5" spans="1:6" x14ac:dyDescent="0.25">
      <c r="A5" s="6" t="s">
        <v>227</v>
      </c>
      <c r="B5" s="6" t="s">
        <v>230</v>
      </c>
      <c r="C5" s="6" t="s">
        <v>237</v>
      </c>
      <c r="D5" s="6" t="s">
        <v>239</v>
      </c>
      <c r="E5" s="6" t="s">
        <v>240</v>
      </c>
      <c r="F5" s="6" t="s">
        <v>241</v>
      </c>
    </row>
    <row r="6" spans="1:6" x14ac:dyDescent="0.25">
      <c r="A6" s="6" t="s">
        <v>227</v>
      </c>
      <c r="B6" s="6" t="s">
        <v>230</v>
      </c>
      <c r="C6" s="6" t="s">
        <v>594</v>
      </c>
      <c r="D6" s="6" t="s">
        <v>595</v>
      </c>
      <c r="E6" s="6" t="s">
        <v>596</v>
      </c>
      <c r="F6" s="6" t="s">
        <v>597</v>
      </c>
    </row>
    <row r="7" spans="1:6" x14ac:dyDescent="0.25">
      <c r="A7" s="6" t="s">
        <v>227</v>
      </c>
      <c r="B7" s="6" t="s">
        <v>230</v>
      </c>
      <c r="C7" s="6" t="s">
        <v>238</v>
      </c>
      <c r="D7" s="6" t="s">
        <v>598</v>
      </c>
      <c r="E7" s="6" t="s">
        <v>599</v>
      </c>
      <c r="F7" s="6" t="s">
        <v>600</v>
      </c>
    </row>
    <row r="8" spans="1:6" x14ac:dyDescent="0.25">
      <c r="A8" s="6" t="s">
        <v>275</v>
      </c>
      <c r="B8" s="6" t="s">
        <v>278</v>
      </c>
      <c r="C8" s="6" t="s">
        <v>285</v>
      </c>
      <c r="D8" s="6" t="s">
        <v>287</v>
      </c>
      <c r="E8" s="6" t="s">
        <v>288</v>
      </c>
      <c r="F8" s="6" t="s">
        <v>289</v>
      </c>
    </row>
    <row r="9" spans="1:6" x14ac:dyDescent="0.25">
      <c r="A9" s="6" t="s">
        <v>275</v>
      </c>
      <c r="B9" s="6" t="s">
        <v>278</v>
      </c>
      <c r="C9" s="6" t="s">
        <v>601</v>
      </c>
      <c r="D9" s="6" t="s">
        <v>602</v>
      </c>
      <c r="E9" s="6" t="s">
        <v>603</v>
      </c>
      <c r="F9" s="6" t="s">
        <v>604</v>
      </c>
    </row>
    <row r="10" spans="1:6" x14ac:dyDescent="0.25">
      <c r="A10" s="6" t="s">
        <v>275</v>
      </c>
      <c r="B10" s="6" t="s">
        <v>278</v>
      </c>
      <c r="C10" s="6" t="s">
        <v>286</v>
      </c>
      <c r="D10" s="6" t="s">
        <v>605</v>
      </c>
      <c r="E10" s="6" t="s">
        <v>606</v>
      </c>
      <c r="F10" s="6" t="s">
        <v>607</v>
      </c>
    </row>
    <row r="11" spans="1:6" x14ac:dyDescent="0.25">
      <c r="A11" s="6" t="s">
        <v>323</v>
      </c>
      <c r="B11" s="6" t="s">
        <v>326</v>
      </c>
      <c r="C11" s="6" t="s">
        <v>55</v>
      </c>
      <c r="D11" s="6" t="s">
        <v>331</v>
      </c>
      <c r="E11" s="6" t="s">
        <v>332</v>
      </c>
      <c r="F11" s="6" t="s">
        <v>333</v>
      </c>
    </row>
    <row r="12" spans="1:6" x14ac:dyDescent="0.25">
      <c r="A12" s="6" t="s">
        <v>323</v>
      </c>
      <c r="B12" s="6" t="s">
        <v>326</v>
      </c>
      <c r="C12" s="6" t="s">
        <v>56</v>
      </c>
      <c r="D12" s="6" t="s">
        <v>608</v>
      </c>
      <c r="E12" s="6" t="s">
        <v>609</v>
      </c>
      <c r="F12" s="6" t="s">
        <v>610</v>
      </c>
    </row>
    <row r="13" spans="1:6" x14ac:dyDescent="0.25">
      <c r="A13" s="6" t="s">
        <v>323</v>
      </c>
      <c r="B13" s="6" t="s">
        <v>326</v>
      </c>
      <c r="C13" s="6" t="s">
        <v>169</v>
      </c>
      <c r="D13" s="6" t="s">
        <v>611</v>
      </c>
      <c r="E13" s="6" t="s">
        <v>612</v>
      </c>
      <c r="F13" s="6" t="s">
        <v>613</v>
      </c>
    </row>
    <row r="14" spans="1:6" x14ac:dyDescent="0.25">
      <c r="A14" s="6" t="s">
        <v>382</v>
      </c>
      <c r="B14" s="6" t="s">
        <v>385</v>
      </c>
      <c r="C14" s="6" t="s">
        <v>264</v>
      </c>
      <c r="D14" s="6" t="s">
        <v>391</v>
      </c>
      <c r="E14" s="6" t="s">
        <v>392</v>
      </c>
      <c r="F14" s="6" t="s">
        <v>393</v>
      </c>
    </row>
    <row r="15" spans="1:6" x14ac:dyDescent="0.25">
      <c r="A15" s="6" t="s">
        <v>382</v>
      </c>
      <c r="B15" s="6" t="s">
        <v>385</v>
      </c>
      <c r="C15" s="6" t="s">
        <v>614</v>
      </c>
      <c r="D15" s="6" t="s">
        <v>615</v>
      </c>
      <c r="E15" s="6" t="s">
        <v>616</v>
      </c>
      <c r="F15" s="6" t="s">
        <v>617</v>
      </c>
    </row>
    <row r="16" spans="1:6" x14ac:dyDescent="0.25">
      <c r="A16" s="6" t="s">
        <v>421</v>
      </c>
      <c r="B16" s="6" t="s">
        <v>424</v>
      </c>
      <c r="C16" s="6" t="s">
        <v>55</v>
      </c>
      <c r="D16" s="6" t="s">
        <v>431</v>
      </c>
      <c r="E16" s="6" t="s">
        <v>432</v>
      </c>
      <c r="F16" s="6" t="s">
        <v>433</v>
      </c>
    </row>
    <row r="17" spans="1:6" x14ac:dyDescent="0.25">
      <c r="A17" s="6" t="s">
        <v>421</v>
      </c>
      <c r="B17" s="6" t="s">
        <v>424</v>
      </c>
      <c r="C17" s="6" t="s">
        <v>56</v>
      </c>
      <c r="D17" s="6" t="s">
        <v>618</v>
      </c>
      <c r="E17" s="6" t="s">
        <v>619</v>
      </c>
      <c r="F17" s="6" t="s">
        <v>620</v>
      </c>
    </row>
    <row r="18" spans="1:6" x14ac:dyDescent="0.25">
      <c r="A18" s="6" t="s">
        <v>421</v>
      </c>
      <c r="B18" s="6" t="s">
        <v>424</v>
      </c>
      <c r="C18" s="6" t="s">
        <v>310</v>
      </c>
      <c r="D18" s="6" t="s">
        <v>621</v>
      </c>
      <c r="E18" s="6" t="s">
        <v>622</v>
      </c>
      <c r="F18" s="6" t="s">
        <v>623</v>
      </c>
    </row>
    <row r="19" spans="1:6" x14ac:dyDescent="0.25">
      <c r="A19" s="6" t="s">
        <v>421</v>
      </c>
      <c r="B19" s="6" t="s">
        <v>424</v>
      </c>
      <c r="C19" s="6" t="s">
        <v>430</v>
      </c>
      <c r="D19" s="6" t="s">
        <v>624</v>
      </c>
      <c r="E19" s="6" t="s">
        <v>625</v>
      </c>
      <c r="F19" s="6" t="s">
        <v>626</v>
      </c>
    </row>
  </sheetData>
  <autoFilter ref="A1:F19" xr:uid="{2E8458E2-A327-4987-A9E6-D9D3972C1B9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682B-E957-495B-9780-AF18C8CA6E08}"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14.7265625" style="2" bestFit="1" customWidth="1"/>
    <col min="2" max="2" width="16.08984375" style="2" bestFit="1" customWidth="1"/>
    <col min="3" max="3" width="20.26953125" style="2" bestFit="1" customWidth="1"/>
    <col min="4" max="4" width="19" style="2" bestFit="1" customWidth="1"/>
    <col min="5" max="5" width="9.36328125" style="2" bestFit="1" customWidth="1"/>
    <col min="6" max="6" width="9.90625" style="2" bestFit="1" customWidth="1"/>
    <col min="7" max="7" width="34.90625" style="2" bestFit="1" customWidth="1"/>
    <col min="8" max="8" width="15.6328125" style="2" bestFit="1" customWidth="1"/>
    <col min="9" max="9" width="8.36328125" style="3" bestFit="1" customWidth="1"/>
    <col min="10" max="16384" width="8.7265625" style="1"/>
  </cols>
  <sheetData>
    <row r="1" spans="1:9" ht="28" customHeight="1" x14ac:dyDescent="0.3">
      <c r="A1" s="4" t="s">
        <v>0</v>
      </c>
      <c r="B1" s="4" t="s">
        <v>4</v>
      </c>
      <c r="C1" s="4" t="s">
        <v>627</v>
      </c>
      <c r="D1" s="4" t="s">
        <v>5</v>
      </c>
      <c r="E1" s="4" t="s">
        <v>3</v>
      </c>
      <c r="F1" s="4" t="s">
        <v>10</v>
      </c>
      <c r="G1" s="4" t="s">
        <v>628</v>
      </c>
      <c r="H1" s="4" t="s">
        <v>629</v>
      </c>
      <c r="I1" s="5" t="s">
        <v>630</v>
      </c>
    </row>
    <row r="2" spans="1:9" x14ac:dyDescent="0.25">
      <c r="A2" s="6" t="s">
        <v>100</v>
      </c>
      <c r="B2" s="6" t="s">
        <v>104</v>
      </c>
      <c r="C2" s="6" t="s">
        <v>631</v>
      </c>
      <c r="D2" s="6" t="s">
        <v>105</v>
      </c>
      <c r="E2" s="6" t="s">
        <v>103</v>
      </c>
      <c r="F2" s="6" t="s">
        <v>109</v>
      </c>
      <c r="G2" s="6" t="s">
        <v>112</v>
      </c>
      <c r="H2" s="6" t="s">
        <v>632</v>
      </c>
      <c r="I2" s="7">
        <v>98</v>
      </c>
    </row>
    <row r="3" spans="1:9" x14ac:dyDescent="0.25">
      <c r="A3" s="6" t="s">
        <v>159</v>
      </c>
      <c r="B3" s="6" t="s">
        <v>162</v>
      </c>
      <c r="C3" s="6" t="s">
        <v>633</v>
      </c>
      <c r="D3" s="6" t="s">
        <v>163</v>
      </c>
      <c r="E3" s="6" t="s">
        <v>161</v>
      </c>
      <c r="F3" s="6" t="s">
        <v>167</v>
      </c>
      <c r="G3" s="6" t="s">
        <v>168</v>
      </c>
      <c r="H3" s="6" t="s">
        <v>634</v>
      </c>
      <c r="I3" s="7">
        <v>95</v>
      </c>
    </row>
    <row r="4" spans="1:9" x14ac:dyDescent="0.25">
      <c r="A4" s="6" t="s">
        <v>186</v>
      </c>
      <c r="B4" s="6" t="s">
        <v>189</v>
      </c>
      <c r="C4" s="6" t="s">
        <v>635</v>
      </c>
      <c r="D4" s="6" t="s">
        <v>636</v>
      </c>
      <c r="E4" s="6" t="s">
        <v>637</v>
      </c>
      <c r="F4" s="6" t="s">
        <v>193</v>
      </c>
      <c r="G4" s="6" t="s">
        <v>638</v>
      </c>
      <c r="H4" s="6" t="s">
        <v>634</v>
      </c>
      <c r="I4" s="7">
        <v>58</v>
      </c>
    </row>
    <row r="5" spans="1:9" x14ac:dyDescent="0.25">
      <c r="A5" s="6" t="s">
        <v>255</v>
      </c>
      <c r="B5" s="6" t="s">
        <v>258</v>
      </c>
      <c r="C5" s="6" t="s">
        <v>639</v>
      </c>
      <c r="D5" s="6" t="s">
        <v>259</v>
      </c>
      <c r="E5" s="6" t="s">
        <v>257</v>
      </c>
      <c r="F5" s="6" t="s">
        <v>263</v>
      </c>
      <c r="G5" s="6" t="s">
        <v>142</v>
      </c>
      <c r="H5" s="6" t="s">
        <v>640</v>
      </c>
      <c r="I5" s="7">
        <v>94</v>
      </c>
    </row>
    <row r="6" spans="1:9" x14ac:dyDescent="0.25">
      <c r="A6" s="6" t="s">
        <v>255</v>
      </c>
      <c r="B6" s="6" t="s">
        <v>258</v>
      </c>
      <c r="C6" s="6" t="s">
        <v>641</v>
      </c>
      <c r="D6" s="6" t="s">
        <v>642</v>
      </c>
      <c r="E6" s="6" t="s">
        <v>643</v>
      </c>
      <c r="F6" s="6" t="s">
        <v>263</v>
      </c>
      <c r="G6" s="6" t="s">
        <v>644</v>
      </c>
      <c r="H6" s="6" t="s">
        <v>634</v>
      </c>
      <c r="I6" s="7">
        <v>67</v>
      </c>
    </row>
    <row r="7" spans="1:9" x14ac:dyDescent="0.25">
      <c r="A7" s="6" t="s">
        <v>323</v>
      </c>
      <c r="B7" s="6" t="s">
        <v>326</v>
      </c>
      <c r="C7" s="6" t="s">
        <v>645</v>
      </c>
      <c r="D7" s="6" t="s">
        <v>327</v>
      </c>
      <c r="E7" s="6" t="s">
        <v>325</v>
      </c>
      <c r="F7" s="6" t="s">
        <v>330</v>
      </c>
      <c r="G7" s="6" t="s">
        <v>83</v>
      </c>
      <c r="H7" s="6" t="s">
        <v>640</v>
      </c>
      <c r="I7" s="7">
        <v>99</v>
      </c>
    </row>
    <row r="8" spans="1:9" x14ac:dyDescent="0.25">
      <c r="A8" s="6" t="s">
        <v>357</v>
      </c>
      <c r="B8" s="6" t="s">
        <v>360</v>
      </c>
      <c r="C8" s="6" t="s">
        <v>646</v>
      </c>
      <c r="D8" s="6" t="s">
        <v>361</v>
      </c>
      <c r="E8" s="6" t="s">
        <v>359</v>
      </c>
      <c r="F8" s="6" t="s">
        <v>647</v>
      </c>
      <c r="G8" s="6" t="s">
        <v>366</v>
      </c>
      <c r="H8" s="6" t="s">
        <v>634</v>
      </c>
      <c r="I8" s="7">
        <v>72</v>
      </c>
    </row>
    <row r="9" spans="1:9" x14ac:dyDescent="0.25">
      <c r="A9" s="6" t="s">
        <v>401</v>
      </c>
      <c r="B9" s="6" t="s">
        <v>404</v>
      </c>
      <c r="C9" s="6" t="s">
        <v>648</v>
      </c>
      <c r="D9" s="6" t="s">
        <v>405</v>
      </c>
      <c r="E9" s="6" t="s">
        <v>403</v>
      </c>
      <c r="F9" s="6" t="s">
        <v>408</v>
      </c>
      <c r="G9" s="6" t="s">
        <v>112</v>
      </c>
      <c r="H9" s="6" t="s">
        <v>640</v>
      </c>
      <c r="I9" s="7">
        <v>97</v>
      </c>
    </row>
    <row r="10" spans="1:9" x14ac:dyDescent="0.25">
      <c r="A10" s="6" t="s">
        <v>401</v>
      </c>
      <c r="B10" s="6" t="s">
        <v>404</v>
      </c>
      <c r="C10" s="6" t="s">
        <v>648</v>
      </c>
      <c r="D10" s="6" t="s">
        <v>649</v>
      </c>
      <c r="E10" s="6" t="s">
        <v>650</v>
      </c>
      <c r="F10" s="6" t="s">
        <v>408</v>
      </c>
      <c r="G10" s="6" t="s">
        <v>651</v>
      </c>
      <c r="H10" s="6" t="s">
        <v>634</v>
      </c>
      <c r="I10" s="7">
        <v>70</v>
      </c>
    </row>
    <row r="11" spans="1:9" x14ac:dyDescent="0.25">
      <c r="A11" s="6" t="s">
        <v>421</v>
      </c>
      <c r="B11" s="6" t="s">
        <v>424</v>
      </c>
      <c r="C11" s="6" t="s">
        <v>652</v>
      </c>
      <c r="D11" s="6" t="s">
        <v>425</v>
      </c>
      <c r="E11" s="6" t="s">
        <v>423</v>
      </c>
      <c r="F11" s="6" t="s">
        <v>429</v>
      </c>
      <c r="G11" s="6" t="s">
        <v>54</v>
      </c>
      <c r="H11" s="6" t="s">
        <v>640</v>
      </c>
      <c r="I11" s="7">
        <v>99</v>
      </c>
    </row>
    <row r="12" spans="1:9" x14ac:dyDescent="0.25">
      <c r="A12" s="6" t="s">
        <v>421</v>
      </c>
      <c r="B12" s="6" t="s">
        <v>424</v>
      </c>
      <c r="C12" s="6" t="s">
        <v>653</v>
      </c>
      <c r="D12" s="6" t="s">
        <v>654</v>
      </c>
      <c r="E12" s="6" t="s">
        <v>655</v>
      </c>
      <c r="F12" s="6" t="s">
        <v>429</v>
      </c>
      <c r="G12" s="6" t="s">
        <v>656</v>
      </c>
      <c r="H12" s="6" t="s">
        <v>634</v>
      </c>
      <c r="I12" s="7">
        <v>66</v>
      </c>
    </row>
    <row r="13" spans="1:9" x14ac:dyDescent="0.25">
      <c r="A13" s="6" t="s">
        <v>443</v>
      </c>
      <c r="B13" s="6" t="s">
        <v>446</v>
      </c>
      <c r="C13" s="6" t="s">
        <v>657</v>
      </c>
      <c r="D13" s="6" t="s">
        <v>447</v>
      </c>
      <c r="E13" s="6" t="s">
        <v>445</v>
      </c>
      <c r="F13" s="6" t="s">
        <v>449</v>
      </c>
      <c r="G13" s="6" t="s">
        <v>168</v>
      </c>
      <c r="H13" s="6" t="s">
        <v>640</v>
      </c>
      <c r="I13" s="7">
        <v>96</v>
      </c>
    </row>
    <row r="14" spans="1:9" x14ac:dyDescent="0.25">
      <c r="A14" s="6" t="s">
        <v>443</v>
      </c>
      <c r="B14" s="6" t="s">
        <v>446</v>
      </c>
      <c r="C14" s="6" t="s">
        <v>657</v>
      </c>
      <c r="D14" s="6" t="s">
        <v>658</v>
      </c>
      <c r="E14" s="6" t="s">
        <v>659</v>
      </c>
      <c r="F14" s="6" t="s">
        <v>449</v>
      </c>
      <c r="G14" s="6" t="s">
        <v>54</v>
      </c>
      <c r="H14" s="6" t="s">
        <v>634</v>
      </c>
      <c r="I14" s="7">
        <v>78</v>
      </c>
    </row>
    <row r="15" spans="1:9" x14ac:dyDescent="0.25">
      <c r="A15" s="6" t="s">
        <v>443</v>
      </c>
      <c r="B15" s="6" t="s">
        <v>446</v>
      </c>
      <c r="C15" s="6" t="s">
        <v>660</v>
      </c>
      <c r="D15" s="6" t="s">
        <v>661</v>
      </c>
      <c r="E15" s="6" t="s">
        <v>662</v>
      </c>
      <c r="F15" s="6" t="s">
        <v>663</v>
      </c>
      <c r="G15" s="6" t="s">
        <v>664</v>
      </c>
      <c r="H15" s="6" t="s">
        <v>634</v>
      </c>
      <c r="I15" s="7">
        <v>61</v>
      </c>
    </row>
    <row r="16" spans="1:9" x14ac:dyDescent="0.25">
      <c r="A16" s="6" t="s">
        <v>454</v>
      </c>
      <c r="B16" s="6" t="s">
        <v>457</v>
      </c>
      <c r="C16" s="6" t="s">
        <v>665</v>
      </c>
      <c r="D16" s="6" t="s">
        <v>458</v>
      </c>
      <c r="E16" s="6" t="s">
        <v>456</v>
      </c>
      <c r="F16" s="6" t="s">
        <v>460</v>
      </c>
      <c r="G16" s="6" t="s">
        <v>112</v>
      </c>
      <c r="H16" s="6" t="s">
        <v>632</v>
      </c>
      <c r="I16" s="7">
        <v>93</v>
      </c>
    </row>
    <row r="17" spans="1:9" x14ac:dyDescent="0.25">
      <c r="A17" s="6" t="s">
        <v>454</v>
      </c>
      <c r="B17" s="6" t="s">
        <v>457</v>
      </c>
      <c r="C17" s="6" t="s">
        <v>666</v>
      </c>
      <c r="D17" s="6" t="s">
        <v>667</v>
      </c>
      <c r="E17" s="6" t="s">
        <v>668</v>
      </c>
      <c r="F17" s="6" t="s">
        <v>460</v>
      </c>
      <c r="G17" s="6" t="s">
        <v>669</v>
      </c>
      <c r="H17" s="6" t="s">
        <v>634</v>
      </c>
      <c r="I17" s="7">
        <v>64</v>
      </c>
    </row>
    <row r="18" spans="1:9" x14ac:dyDescent="0.25">
      <c r="A18" s="6" t="s">
        <v>478</v>
      </c>
      <c r="B18" s="6" t="s">
        <v>481</v>
      </c>
      <c r="C18" s="6" t="s">
        <v>670</v>
      </c>
      <c r="D18" s="6" t="s">
        <v>482</v>
      </c>
      <c r="E18" s="6" t="s">
        <v>480</v>
      </c>
      <c r="F18" s="6" t="s">
        <v>484</v>
      </c>
      <c r="G18" s="6" t="s">
        <v>485</v>
      </c>
      <c r="H18" s="6" t="s">
        <v>640</v>
      </c>
      <c r="I18" s="7">
        <v>98</v>
      </c>
    </row>
    <row r="19" spans="1:9" x14ac:dyDescent="0.25">
      <c r="A19" s="6" t="s">
        <v>506</v>
      </c>
      <c r="B19" s="6" t="s">
        <v>509</v>
      </c>
      <c r="C19" s="6" t="s">
        <v>671</v>
      </c>
      <c r="D19" s="6" t="s">
        <v>510</v>
      </c>
      <c r="E19" s="6" t="s">
        <v>508</v>
      </c>
      <c r="F19" s="6" t="s">
        <v>512</v>
      </c>
      <c r="G19" s="6" t="s">
        <v>513</v>
      </c>
      <c r="H19" s="6" t="s">
        <v>632</v>
      </c>
      <c r="I19" s="7">
        <v>97</v>
      </c>
    </row>
  </sheetData>
  <autoFilter ref="A1:I19" xr:uid="{27FA682B-E957-495B-9780-AF18C8CA6E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Pengajuan</vt:lpstr>
      <vt:lpstr>Data Keluarga</vt:lpstr>
      <vt:lpstr>Data Pangkat</vt:lpstr>
      <vt:lpstr>Rekomendasi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2026-09-29T03:08:07Z</dcterms:created>
  <dcterms:modified xsi:type="dcterms:W3CDTF">2026-09-29T03:08:14Z</dcterms:modified>
</cp:coreProperties>
</file>